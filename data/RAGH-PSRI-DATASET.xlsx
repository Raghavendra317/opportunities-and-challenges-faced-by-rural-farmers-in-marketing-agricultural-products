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ghavendra/MBA/PSRI/RAG/"/>
    </mc:Choice>
  </mc:AlternateContent>
  <xr:revisionPtr revIDLastSave="0" documentId="13_ncr:1_{CF4321A2-1700-5049-B735-391C5154683C}" xr6:coauthVersionLast="47" xr6:coauthVersionMax="47" xr10:uidLastSave="{00000000-0000-0000-0000-000000000000}"/>
  <bookViews>
    <workbookView xWindow="0" yWindow="660" windowWidth="29400" windowHeight="18460" activeTab="3" xr2:uid="{10750BDE-E3F9-8A41-8693-4E21D9EC8BA5}"/>
  </bookViews>
  <sheets>
    <sheet name="Sheet1" sheetId="1" r:id="rId1"/>
    <sheet name="Q9" sheetId="2" r:id="rId2"/>
    <sheet name="Q15" sheetId="3" r:id="rId3"/>
    <sheet name="Q2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K2" i="4" l="1"/>
  <c r="L2" i="4"/>
  <c r="K3" i="4"/>
  <c r="L3" i="4"/>
  <c r="K4" i="4"/>
  <c r="L4" i="4"/>
  <c r="K5" i="4"/>
  <c r="L5" i="4"/>
  <c r="K6" i="4"/>
  <c r="L6" i="4"/>
  <c r="K7" i="4"/>
  <c r="L7" i="4"/>
  <c r="C118" i="4"/>
  <c r="D118" i="4"/>
  <c r="E118" i="4"/>
  <c r="F118" i="4"/>
  <c r="G118" i="4"/>
  <c r="B118" i="4"/>
  <c r="C117" i="4"/>
  <c r="D117" i="4"/>
  <c r="E117" i="4"/>
  <c r="F117" i="4"/>
  <c r="G117" i="4"/>
  <c r="B117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E32" i="4"/>
  <c r="F32" i="4"/>
  <c r="G32" i="4"/>
  <c r="E33" i="4"/>
  <c r="F33" i="4"/>
  <c r="G33" i="4"/>
  <c r="E34" i="4"/>
  <c r="F34" i="4"/>
  <c r="G34" i="4"/>
  <c r="E35" i="4"/>
  <c r="F35" i="4"/>
  <c r="G35" i="4"/>
  <c r="E36" i="4"/>
  <c r="F36" i="4"/>
  <c r="G36" i="4"/>
  <c r="E37" i="4"/>
  <c r="F37" i="4"/>
  <c r="G37" i="4"/>
  <c r="E38" i="4"/>
  <c r="F38" i="4"/>
  <c r="G38" i="4"/>
  <c r="E39" i="4"/>
  <c r="F39" i="4"/>
  <c r="G39" i="4"/>
  <c r="E40" i="4"/>
  <c r="F40" i="4"/>
  <c r="G40" i="4"/>
  <c r="E41" i="4"/>
  <c r="F41" i="4"/>
  <c r="G41" i="4"/>
  <c r="E42" i="4"/>
  <c r="F42" i="4"/>
  <c r="G42" i="4"/>
  <c r="E43" i="4"/>
  <c r="F43" i="4"/>
  <c r="G43" i="4"/>
  <c r="E44" i="4"/>
  <c r="F44" i="4"/>
  <c r="G44" i="4"/>
  <c r="E45" i="4"/>
  <c r="F45" i="4"/>
  <c r="G45" i="4"/>
  <c r="E46" i="4"/>
  <c r="F46" i="4"/>
  <c r="G46" i="4"/>
  <c r="E47" i="4"/>
  <c r="F47" i="4"/>
  <c r="G47" i="4"/>
  <c r="E48" i="4"/>
  <c r="F48" i="4"/>
  <c r="G48" i="4"/>
  <c r="E49" i="4"/>
  <c r="F49" i="4"/>
  <c r="G49" i="4"/>
  <c r="E50" i="4"/>
  <c r="F50" i="4"/>
  <c r="G50" i="4"/>
  <c r="E51" i="4"/>
  <c r="F51" i="4"/>
  <c r="G51" i="4"/>
  <c r="E52" i="4"/>
  <c r="F52" i="4"/>
  <c r="G52" i="4"/>
  <c r="E53" i="4"/>
  <c r="F53" i="4"/>
  <c r="G53" i="4"/>
  <c r="E54" i="4"/>
  <c r="F54" i="4"/>
  <c r="G54" i="4"/>
  <c r="E55" i="4"/>
  <c r="F55" i="4"/>
  <c r="G55" i="4"/>
  <c r="E56" i="4"/>
  <c r="F56" i="4"/>
  <c r="G56" i="4"/>
  <c r="E57" i="4"/>
  <c r="F57" i="4"/>
  <c r="G57" i="4"/>
  <c r="E58" i="4"/>
  <c r="F58" i="4"/>
  <c r="G58" i="4"/>
  <c r="E59" i="4"/>
  <c r="F59" i="4"/>
  <c r="G59" i="4"/>
  <c r="E60" i="4"/>
  <c r="F60" i="4"/>
  <c r="G60" i="4"/>
  <c r="E61" i="4"/>
  <c r="F61" i="4"/>
  <c r="G61" i="4"/>
  <c r="E62" i="4"/>
  <c r="F62" i="4"/>
  <c r="G62" i="4"/>
  <c r="E63" i="4"/>
  <c r="F63" i="4"/>
  <c r="G63" i="4"/>
  <c r="E64" i="4"/>
  <c r="F64" i="4"/>
  <c r="G64" i="4"/>
  <c r="E65" i="4"/>
  <c r="F65" i="4"/>
  <c r="G65" i="4"/>
  <c r="E66" i="4"/>
  <c r="F66" i="4"/>
  <c r="G66" i="4"/>
  <c r="E67" i="4"/>
  <c r="F67" i="4"/>
  <c r="G67" i="4"/>
  <c r="E68" i="4"/>
  <c r="F68" i="4"/>
  <c r="G68" i="4"/>
  <c r="E69" i="4"/>
  <c r="F69" i="4"/>
  <c r="G69" i="4"/>
  <c r="E70" i="4"/>
  <c r="F70" i="4"/>
  <c r="G70" i="4"/>
  <c r="E71" i="4"/>
  <c r="F71" i="4"/>
  <c r="G71" i="4"/>
  <c r="E72" i="4"/>
  <c r="F72" i="4"/>
  <c r="G72" i="4"/>
  <c r="E73" i="4"/>
  <c r="F73" i="4"/>
  <c r="G73" i="4"/>
  <c r="E74" i="4"/>
  <c r="F74" i="4"/>
  <c r="G74" i="4"/>
  <c r="E75" i="4"/>
  <c r="F75" i="4"/>
  <c r="G75" i="4"/>
  <c r="E76" i="4"/>
  <c r="F76" i="4"/>
  <c r="G76" i="4"/>
  <c r="E77" i="4"/>
  <c r="F77" i="4"/>
  <c r="G77" i="4"/>
  <c r="E78" i="4"/>
  <c r="F78" i="4"/>
  <c r="G78" i="4"/>
  <c r="E79" i="4"/>
  <c r="F79" i="4"/>
  <c r="G79" i="4"/>
  <c r="E80" i="4"/>
  <c r="F80" i="4"/>
  <c r="G80" i="4"/>
  <c r="E81" i="4"/>
  <c r="F81" i="4"/>
  <c r="G81" i="4"/>
  <c r="E82" i="4"/>
  <c r="F82" i="4"/>
  <c r="G82" i="4"/>
  <c r="E83" i="4"/>
  <c r="F83" i="4"/>
  <c r="G83" i="4"/>
  <c r="E84" i="4"/>
  <c r="F84" i="4"/>
  <c r="G84" i="4"/>
  <c r="E85" i="4"/>
  <c r="F85" i="4"/>
  <c r="G85" i="4"/>
  <c r="E86" i="4"/>
  <c r="F86" i="4"/>
  <c r="G86" i="4"/>
  <c r="E87" i="4"/>
  <c r="F87" i="4"/>
  <c r="G87" i="4"/>
  <c r="E88" i="4"/>
  <c r="F88" i="4"/>
  <c r="G88" i="4"/>
  <c r="E89" i="4"/>
  <c r="F89" i="4"/>
  <c r="G89" i="4"/>
  <c r="E90" i="4"/>
  <c r="F90" i="4"/>
  <c r="G90" i="4"/>
  <c r="E91" i="4"/>
  <c r="F91" i="4"/>
  <c r="G91" i="4"/>
  <c r="E92" i="4"/>
  <c r="F92" i="4"/>
  <c r="G92" i="4"/>
  <c r="E93" i="4"/>
  <c r="F93" i="4"/>
  <c r="G93" i="4"/>
  <c r="E94" i="4"/>
  <c r="F94" i="4"/>
  <c r="G94" i="4"/>
  <c r="E95" i="4"/>
  <c r="F95" i="4"/>
  <c r="G95" i="4"/>
  <c r="E96" i="4"/>
  <c r="F96" i="4"/>
  <c r="G96" i="4"/>
  <c r="E97" i="4"/>
  <c r="F97" i="4"/>
  <c r="G97" i="4"/>
  <c r="E98" i="4"/>
  <c r="F98" i="4"/>
  <c r="G98" i="4"/>
  <c r="E99" i="4"/>
  <c r="F99" i="4"/>
  <c r="G99" i="4"/>
  <c r="E100" i="4"/>
  <c r="F100" i="4"/>
  <c r="G100" i="4"/>
  <c r="E101" i="4"/>
  <c r="F101" i="4"/>
  <c r="G101" i="4"/>
  <c r="E102" i="4"/>
  <c r="F102" i="4"/>
  <c r="G102" i="4"/>
  <c r="E103" i="4"/>
  <c r="F103" i="4"/>
  <c r="G103" i="4"/>
  <c r="E104" i="4"/>
  <c r="F104" i="4"/>
  <c r="G104" i="4"/>
  <c r="E105" i="4"/>
  <c r="F105" i="4"/>
  <c r="G105" i="4"/>
  <c r="E106" i="4"/>
  <c r="F106" i="4"/>
  <c r="G106" i="4"/>
  <c r="E107" i="4"/>
  <c r="F107" i="4"/>
  <c r="G107" i="4"/>
  <c r="E108" i="4"/>
  <c r="F108" i="4"/>
  <c r="G108" i="4"/>
  <c r="E109" i="4"/>
  <c r="F109" i="4"/>
  <c r="G109" i="4"/>
  <c r="E110" i="4"/>
  <c r="F110" i="4"/>
  <c r="G110" i="4"/>
  <c r="E111" i="4"/>
  <c r="F111" i="4"/>
  <c r="G111" i="4"/>
  <c r="E112" i="4"/>
  <c r="F112" i="4"/>
  <c r="G112" i="4"/>
  <c r="E113" i="4"/>
  <c r="F113" i="4"/>
  <c r="G113" i="4"/>
  <c r="E114" i="4"/>
  <c r="F114" i="4"/>
  <c r="G114" i="4"/>
  <c r="E115" i="4"/>
  <c r="F115" i="4"/>
  <c r="G115" i="4"/>
  <c r="E116" i="4"/>
  <c r="F116" i="4"/>
  <c r="G116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G2" i="4"/>
  <c r="F2" i="4"/>
  <c r="E2" i="4"/>
  <c r="D2" i="4"/>
  <c r="C2" i="4"/>
  <c r="B2" i="4"/>
  <c r="K2" i="3"/>
  <c r="L2" i="3"/>
  <c r="K3" i="3"/>
  <c r="L3" i="3"/>
  <c r="K4" i="3"/>
  <c r="L4" i="3"/>
  <c r="K5" i="3"/>
  <c r="L5" i="3"/>
  <c r="K6" i="3"/>
  <c r="L6" i="3"/>
  <c r="C118" i="3"/>
  <c r="D118" i="3"/>
  <c r="E118" i="3"/>
  <c r="F118" i="3"/>
  <c r="B118" i="3"/>
  <c r="C117" i="3"/>
  <c r="D117" i="3"/>
  <c r="E117" i="3"/>
  <c r="F117" i="3"/>
  <c r="B117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2" i="3"/>
  <c r="M3" i="2"/>
  <c r="M4" i="2"/>
  <c r="M5" i="2"/>
  <c r="M6" i="2"/>
  <c r="M7" i="2"/>
  <c r="M8" i="2"/>
  <c r="L2" i="2"/>
  <c r="M2" i="2"/>
  <c r="L3" i="2"/>
  <c r="L4" i="2"/>
  <c r="L5" i="2"/>
  <c r="L6" i="2"/>
  <c r="L7" i="2"/>
  <c r="L8" i="2"/>
  <c r="H118" i="2"/>
  <c r="C118" i="2"/>
  <c r="D118" i="2"/>
  <c r="E118" i="2"/>
  <c r="F118" i="2"/>
  <c r="G118" i="2"/>
  <c r="B118" i="2"/>
  <c r="C117" i="2"/>
  <c r="D117" i="2"/>
  <c r="E117" i="2"/>
  <c r="F117" i="2"/>
  <c r="G117" i="2"/>
  <c r="H117" i="2"/>
  <c r="B117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2" i="2"/>
</calcChain>
</file>

<file path=xl/sharedStrings.xml><?xml version="1.0" encoding="utf-8"?>
<sst xmlns="http://schemas.openxmlformats.org/spreadsheetml/2006/main" count="3299" uniqueCount="134">
  <si>
    <t>Age</t>
  </si>
  <si>
    <t>Gender</t>
  </si>
  <si>
    <t>Landholding Size</t>
  </si>
  <si>
    <t>Farming Experience</t>
  </si>
  <si>
    <t>Area/Place</t>
  </si>
  <si>
    <t>How do you sell your agricultural products?</t>
  </si>
  <si>
    <t>Which marketing method do you use most frequently?</t>
  </si>
  <si>
    <t>What type of agricultural products do you grow and sell?</t>
  </si>
  <si>
    <t>What problems do you face in marketing your agricultural products?</t>
  </si>
  <si>
    <t>Do you feel you get a fair price for your products?</t>
  </si>
  <si>
    <t>Are transportation facilities adequate for marketing your products?</t>
  </si>
  <si>
    <t>Do you receive proper information about market prices?</t>
  </si>
  <si>
    <t>Are storage facilities adequate for preserving agricultural products?</t>
  </si>
  <si>
    <t>Do middlemen influence the pricing of your products?</t>
  </si>
  <si>
    <t>What opportunities do you see in marketing your agricultural products?</t>
  </si>
  <si>
    <t>Are you aware of direct marketing methods for agricultural products?</t>
  </si>
  <si>
    <t>Are you using digital platforms (WhatsApp UPI Facebook etc.) for selling?</t>
  </si>
  <si>
    <t>Which digital platform do you use most frequently?</t>
  </si>
  <si>
    <t>Do digital platforms help in promoting agricultural products?</t>
  </si>
  <si>
    <t>Would you prefer using digital platforms for marketing agricultural products?</t>
  </si>
  <si>
    <t>Have digital payment methods improved your selling experience?</t>
  </si>
  <si>
    <t>Do you think direct marketing can increase farmer income?</t>
  </si>
  <si>
    <t>Are customers interested in purchasing products directly from farmers?</t>
  </si>
  <si>
    <t>What initiatives should the Government take to improve the marketing of agricultural products?</t>
  </si>
  <si>
    <t>Would you be interested in attending training programs on agricultural marketing and digital marketing?</t>
  </si>
  <si>
    <t>30–45</t>
  </si>
  <si>
    <t>Male</t>
  </si>
  <si>
    <t>2–5 acres</t>
  </si>
  <si>
    <t>More than 5 years</t>
  </si>
  <si>
    <t>Tumkur Rural</t>
  </si>
  <si>
    <t>Through middlemen</t>
  </si>
  <si>
    <t>Middlemen</t>
  </si>
  <si>
    <t>Grains</t>
  </si>
  <si>
    <t>Middlemen control;Low price;Transport issues</t>
  </si>
  <si>
    <t>No</t>
  </si>
  <si>
    <t>Yes</t>
  </si>
  <si>
    <t>Higher profit;Better price control</t>
  </si>
  <si>
    <t>WhatsApp</t>
  </si>
  <si>
    <t>Reduce middlemen;Better transport facilities;Government support</t>
  </si>
  <si>
    <t>46–60</t>
  </si>
  <si>
    <t>More than 5 acres</t>
  </si>
  <si>
    <t>Gubbi</t>
  </si>
  <si>
    <t>APMC market</t>
  </si>
  <si>
    <t>Both</t>
  </si>
  <si>
    <t>Vegetables</t>
  </si>
  <si>
    <t>Low price;Delayed payments;Storage problems</t>
  </si>
  <si>
    <t>Higher profit;Immediate payment</t>
  </si>
  <si>
    <t>UPI/PhonePe/GPay</t>
  </si>
  <si>
    <t>Better storage facilities;Awareness programs</t>
  </si>
  <si>
    <t>20–25</t>
  </si>
  <si>
    <t>Female</t>
  </si>
  <si>
    <t>Less than 2 acres</t>
  </si>
  <si>
    <t>2–5 years</t>
  </si>
  <si>
    <t>Tiptur</t>
  </si>
  <si>
    <t>Direct to consumers</t>
  </si>
  <si>
    <t>Direct selling</t>
  </si>
  <si>
    <t>Flowers</t>
  </si>
  <si>
    <t>Transport issues;Lack of awareness</t>
  </si>
  <si>
    <t>Direct customer relationship;Better demand</t>
  </si>
  <si>
    <t>Instagram</t>
  </si>
  <si>
    <t>Awareness programs;Digital payment systems</t>
  </si>
  <si>
    <t>Kunigal</t>
  </si>
  <si>
    <t>Middlemen control;Low price;Delayed payments</t>
  </si>
  <si>
    <t>Others</t>
  </si>
  <si>
    <t>Reduce middlemen;Government support</t>
  </si>
  <si>
    <t>Turuvekere</t>
  </si>
  <si>
    <t>Retail shops</t>
  </si>
  <si>
    <t>Low price;Transport issues</t>
  </si>
  <si>
    <t>Better demand;Immediate payment</t>
  </si>
  <si>
    <t>Better transport facilities;Awareness programs</t>
  </si>
  <si>
    <t>Sira</t>
  </si>
  <si>
    <t>Storage problems;Low price</t>
  </si>
  <si>
    <t>Higher profit;Better demand</t>
  </si>
  <si>
    <t>Facebook</t>
  </si>
  <si>
    <t>Better storage facilities;Government support</t>
  </si>
  <si>
    <t>Less than 2 years</t>
  </si>
  <si>
    <t>Koratagere</t>
  </si>
  <si>
    <t>Digital platforms (WhatsApp Facebook etc.)</t>
  </si>
  <si>
    <t>Lack of market information;Transport issues</t>
  </si>
  <si>
    <t>Direct customer relationship;Higher profit</t>
  </si>
  <si>
    <t>Digital payment systems;Awareness programs</t>
  </si>
  <si>
    <t>Above 60</t>
  </si>
  <si>
    <t>Pavagada</t>
  </si>
  <si>
    <t>Middlemen control;Low price;Storage problems</t>
  </si>
  <si>
    <t>Immediate payment</t>
  </si>
  <si>
    <t>Reduce middlemen;Better storage facilities</t>
  </si>
  <si>
    <t>Madhugiri</t>
  </si>
  <si>
    <t>Fruits</t>
  </si>
  <si>
    <t>Better price control;Direct customer relationship</t>
  </si>
  <si>
    <t>Awareness programs;Better transport facilities</t>
  </si>
  <si>
    <t>Low price;Delayed payments</t>
  </si>
  <si>
    <t>Government support;Better storage facilities</t>
  </si>
  <si>
    <t>Lack of awareness;Transport issues</t>
  </si>
  <si>
    <t>Higher profit;Direct customer relationship</t>
  </si>
  <si>
    <t>Better demand;Higher profit</t>
  </si>
  <si>
    <t>Middlemen control;Delayed payments</t>
  </si>
  <si>
    <t>Reduce middlemen;Better transport facilities</t>
  </si>
  <si>
    <t>Transport issues;Lack of market information</t>
  </si>
  <si>
    <t>Low price;Storage problems</t>
  </si>
  <si>
    <t>Middlemen control;Low price</t>
  </si>
  <si>
    <t>Storage problems;Delayed payments</t>
  </si>
  <si>
    <t>Delayed payments;Storage problems</t>
  </si>
  <si>
    <t>Better price control;Better demand</t>
  </si>
  <si>
    <t>Delayed payments;Transport issues</t>
  </si>
  <si>
    <t>Government support;Better transport facilities</t>
  </si>
  <si>
    <t>Immediate payment;Better demand</t>
  </si>
  <si>
    <t>Better price control;Higher profit</t>
  </si>
  <si>
    <t>Awareness programs;Government support</t>
  </si>
  <si>
    <t>Middlemen Control</t>
  </si>
  <si>
    <t>Low Price</t>
  </si>
  <si>
    <t>Delayed Payments</t>
  </si>
  <si>
    <t>Lack of Market Information</t>
  </si>
  <si>
    <t>Transport Issues</t>
  </si>
  <si>
    <t>Storage Problems</t>
  </si>
  <si>
    <t>Lack of Awareness</t>
  </si>
  <si>
    <t>Percentage</t>
  </si>
  <si>
    <t>A</t>
  </si>
  <si>
    <t>B</t>
  </si>
  <si>
    <t>C</t>
  </si>
  <si>
    <t>Total</t>
  </si>
  <si>
    <t xml:space="preserve">Frequency </t>
  </si>
  <si>
    <t>Higher Profit</t>
  </si>
  <si>
    <t>Better Price Control</t>
  </si>
  <si>
    <t>Direct Customer Relationship</t>
  </si>
  <si>
    <t>Immediate Payment</t>
  </si>
  <si>
    <t>Better Demand</t>
  </si>
  <si>
    <t>TOTAL</t>
  </si>
  <si>
    <t>PERCENTAGE</t>
  </si>
  <si>
    <t>Reduce Middlemen</t>
  </si>
  <si>
    <t>Better Transport Facilities</t>
  </si>
  <si>
    <t>Awareness Programs</t>
  </si>
  <si>
    <t>Digital Payment Systems</t>
  </si>
  <si>
    <t>Better Storage Facilities</t>
  </si>
  <si>
    <t>Government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</si>
</sst>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9" formatCode="0.0000000"/>
  </numFmts>
  <fonts count="7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0"/>
      <color rgb="FF000000"/>
      <name val="Arial Unicode MS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4"/>
      <color rgb="FF000000"/>
      <name val="-webkit-standard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2" borderId="0" xfId="0" applyFont="1" applyFill="1"/>
    <xf numFmtId="169" fontId="3" fillId="0" borderId="0" xfId="0" applyNumberFormat="1" applyFont="1"/>
    <xf numFmtId="2" fontId="0" fillId="0" borderId="0" xfId="0" applyNumberForma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 i="0" u="none" strike="noStrike">
                <a:effectLst/>
              </a:rPr>
              <a:t>What problems do you face in marketing your agricultural products?</a:t>
            </a:r>
            <a:r>
              <a:rPr lang="en-US" sz="1000">
                <a:effectLst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'Q9'!$K$2:$K$8</c:f>
              <c:strCache>
                <c:ptCount val="7"/>
                <c:pt idx="0">
                  <c:v>Middlemen Control</c:v>
                </c:pt>
                <c:pt idx="1">
                  <c:v>Low Price</c:v>
                </c:pt>
                <c:pt idx="2">
                  <c:v>Delayed Payments</c:v>
                </c:pt>
                <c:pt idx="3">
                  <c:v>Lack of Market Information</c:v>
                </c:pt>
                <c:pt idx="4">
                  <c:v>Transport Issues</c:v>
                </c:pt>
                <c:pt idx="5">
                  <c:v>Storage Problems</c:v>
                </c:pt>
                <c:pt idx="6">
                  <c:v>Lack of Awareness</c:v>
                </c:pt>
              </c:strCache>
            </c:strRef>
          </c:cat>
          <c:val>
            <c:numRef>
              <c:f>'Q9'!$L$2:$L$8</c:f>
              <c:numCache>
                <c:formatCode>General</c:formatCode>
                <c:ptCount val="7"/>
                <c:pt idx="0">
                  <c:v>32</c:v>
                </c:pt>
                <c:pt idx="1">
                  <c:v>53</c:v>
                </c:pt>
                <c:pt idx="2">
                  <c:v>25</c:v>
                </c:pt>
                <c:pt idx="3">
                  <c:v>13</c:v>
                </c:pt>
                <c:pt idx="4">
                  <c:v>55</c:v>
                </c:pt>
                <c:pt idx="5">
                  <c:v>37</c:v>
                </c:pt>
                <c:pt idx="6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72-2244-84A9-19A638773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389778175"/>
        <c:axId val="1407249791"/>
        <c:axId val="0"/>
      </c:bar3DChart>
      <c:catAx>
        <c:axId val="1389778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249791"/>
        <c:crosses val="autoZero"/>
        <c:auto val="1"/>
        <c:lblAlgn val="ctr"/>
        <c:lblOffset val="100"/>
        <c:noMultiLvlLbl val="0"/>
      </c:catAx>
      <c:valAx>
        <c:axId val="1407249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778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Opportunities Identified by Respondents in Marketing Agricultural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'Q15'!$J$2:$J$6</c:f>
              <c:strCache>
                <c:ptCount val="5"/>
                <c:pt idx="0">
                  <c:v>Higher Profit</c:v>
                </c:pt>
                <c:pt idx="1">
                  <c:v>Better Price Control</c:v>
                </c:pt>
                <c:pt idx="2">
                  <c:v>Direct Customer Relationship</c:v>
                </c:pt>
                <c:pt idx="3">
                  <c:v>Immediate Payment</c:v>
                </c:pt>
                <c:pt idx="4">
                  <c:v>Better Demand</c:v>
                </c:pt>
              </c:strCache>
            </c:strRef>
          </c:cat>
          <c:val>
            <c:numRef>
              <c:f>'Q15'!$K$2:$K$6</c:f>
              <c:numCache>
                <c:formatCode>General</c:formatCode>
                <c:ptCount val="5"/>
                <c:pt idx="0">
                  <c:v>56</c:v>
                </c:pt>
                <c:pt idx="1">
                  <c:v>15</c:v>
                </c:pt>
                <c:pt idx="2">
                  <c:v>33</c:v>
                </c:pt>
                <c:pt idx="3">
                  <c:v>55</c:v>
                </c:pt>
                <c:pt idx="4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C3-D14A-8BC0-D1B955BF7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180284479"/>
        <c:axId val="1180273727"/>
        <c:axId val="0"/>
      </c:bar3DChart>
      <c:catAx>
        <c:axId val="1180284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273727"/>
        <c:crosses val="autoZero"/>
        <c:auto val="1"/>
        <c:lblAlgn val="ctr"/>
        <c:lblOffset val="100"/>
        <c:noMultiLvlLbl val="0"/>
      </c:catAx>
      <c:valAx>
        <c:axId val="1180273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284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'Q24'!$J$2:$J$7</c:f>
              <c:strCache>
                <c:ptCount val="6"/>
                <c:pt idx="0">
                  <c:v>Reduce Middlemen</c:v>
                </c:pt>
                <c:pt idx="1">
                  <c:v>Better Transport Facilities</c:v>
                </c:pt>
                <c:pt idx="2">
                  <c:v>Awareness Programs</c:v>
                </c:pt>
                <c:pt idx="3">
                  <c:v>Digital Payment Systems</c:v>
                </c:pt>
                <c:pt idx="4">
                  <c:v>Better Storage Facilities</c:v>
                </c:pt>
                <c:pt idx="5">
                  <c:v>Government Support</c:v>
                </c:pt>
              </c:strCache>
            </c:strRef>
          </c:cat>
          <c:val>
            <c:numRef>
              <c:f>'Q24'!$K$2:$K$7</c:f>
              <c:numCache>
                <c:formatCode>General</c:formatCode>
                <c:ptCount val="6"/>
                <c:pt idx="0">
                  <c:v>32</c:v>
                </c:pt>
                <c:pt idx="1">
                  <c:v>18</c:v>
                </c:pt>
                <c:pt idx="2">
                  <c:v>56</c:v>
                </c:pt>
                <c:pt idx="3">
                  <c:v>35</c:v>
                </c:pt>
                <c:pt idx="4">
                  <c:v>33</c:v>
                </c:pt>
                <c:pt idx="5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69-1545-8F8E-A7F75FCBB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257622591"/>
        <c:axId val="1257621247"/>
        <c:axId val="0"/>
      </c:bar3DChart>
      <c:catAx>
        <c:axId val="1257622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621247"/>
        <c:crosses val="autoZero"/>
        <c:auto val="1"/>
        <c:lblAlgn val="ctr"/>
        <c:lblOffset val="100"/>
        <c:noMultiLvlLbl val="0"/>
      </c:catAx>
      <c:valAx>
        <c:axId val="1257621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622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69850</xdr:colOff>
      <xdr:row>9</xdr:row>
      <xdr:rowOff>196850</xdr:rowOff>
    </xdr:from>
    <xdr:to>
      <xdr:col>11</xdr:col>
      <xdr:colOff>247650</xdr:colOff>
      <xdr:row>23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EFF0A3-D7D8-D1C1-83E5-5D5B71AB9C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603250</xdr:colOff>
      <xdr:row>11</xdr:row>
      <xdr:rowOff>57150</xdr:rowOff>
    </xdr:from>
    <xdr:to>
      <xdr:col>11</xdr:col>
      <xdr:colOff>755650</xdr:colOff>
      <xdr:row>24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314B57-0670-9F71-CFC6-4E6266C103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692150</xdr:colOff>
      <xdr:row>12</xdr:row>
      <xdr:rowOff>107950</xdr:rowOff>
    </xdr:from>
    <xdr:to>
      <xdr:col>14</xdr:col>
      <xdr:colOff>247650</xdr:colOff>
      <xdr:row>24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322BB5-FBD6-6DEA-EE0E-5A97755435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BDB9E-1DAA-E743-AF91-5B7673046662}">
  <dimension ref="A1:AB149"/>
  <sheetViews>
    <sheetView topLeftCell="V1" workbookViewId="0">
      <selection activeCell="X1" sqref="X1:X116"/>
    </sheetView>
  </sheetViews>
  <sheetFormatPr baseColWidth="10" defaultRowHeight="16"/>
  <cols>
    <col min="3" max="3" width="15.5" bestFit="1" customWidth="1"/>
    <col min="4" max="4" width="17.1640625" bestFit="1" customWidth="1"/>
    <col min="5" max="5" width="11.6640625" bestFit="1" customWidth="1"/>
    <col min="6" max="6" width="36" bestFit="1" customWidth="1"/>
    <col min="7" max="7" width="44.5" bestFit="1" customWidth="1"/>
    <col min="8" max="8" width="46.33203125" bestFit="1" customWidth="1"/>
    <col min="9" max="9" width="56" bestFit="1" customWidth="1"/>
    <col min="10" max="10" width="40.33203125" bestFit="1" customWidth="1"/>
    <col min="11" max="11" width="55.5" bestFit="1" customWidth="1"/>
    <col min="12" max="12" width="46.5" bestFit="1" customWidth="1"/>
    <col min="13" max="13" width="56" bestFit="1" customWidth="1"/>
    <col min="14" max="14" width="44.5" bestFit="1" customWidth="1"/>
    <col min="15" max="15" width="58.83203125" bestFit="1" customWidth="1"/>
    <col min="16" max="16" width="56.83203125" bestFit="1" customWidth="1"/>
    <col min="17" max="17" width="59.6640625" bestFit="1" customWidth="1"/>
    <col min="18" max="18" width="42.1640625" bestFit="1" customWidth="1"/>
    <col min="19" max="19" width="50.1640625" bestFit="1" customWidth="1"/>
    <col min="20" max="20" width="63" bestFit="1" customWidth="1"/>
    <col min="21" max="21" width="54" bestFit="1" customWidth="1"/>
    <col min="22" max="22" width="50.1640625" bestFit="1" customWidth="1"/>
    <col min="23" max="23" width="63" bestFit="1" customWidth="1"/>
    <col min="24" max="24" width="78.83203125" bestFit="1" customWidth="1"/>
    <col min="25" max="25" width="49.1640625" bestFit="1" customWidth="1"/>
    <col min="26" max="26" width="59.1640625" bestFit="1" customWidth="1"/>
    <col min="27" max="27" width="6.6640625" bestFit="1" customWidth="1"/>
    <col min="28" max="28" width="5.6640625" bestFit="1" customWidth="1"/>
  </cols>
  <sheetData>
    <row r="1" spans="1:2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8">
      <c r="A2" s="1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34</v>
      </c>
      <c r="L2" t="s">
        <v>34</v>
      </c>
      <c r="M2" t="s">
        <v>34</v>
      </c>
      <c r="N2" t="s">
        <v>35</v>
      </c>
      <c r="O2" t="s">
        <v>36</v>
      </c>
      <c r="P2" t="s">
        <v>35</v>
      </c>
      <c r="Q2" t="s">
        <v>35</v>
      </c>
      <c r="R2" t="s">
        <v>37</v>
      </c>
      <c r="S2" t="s">
        <v>35</v>
      </c>
      <c r="T2" t="s">
        <v>35</v>
      </c>
      <c r="U2" t="s">
        <v>35</v>
      </c>
      <c r="V2" t="s">
        <v>35</v>
      </c>
      <c r="W2" t="s">
        <v>35</v>
      </c>
      <c r="X2" t="s">
        <v>38</v>
      </c>
      <c r="Y2" t="s">
        <v>35</v>
      </c>
      <c r="AA2" s="2"/>
      <c r="AB2" s="2"/>
    </row>
    <row r="3" spans="1:28">
      <c r="A3" s="1" t="s">
        <v>39</v>
      </c>
      <c r="B3" t="s">
        <v>26</v>
      </c>
      <c r="C3" t="s">
        <v>40</v>
      </c>
      <c r="D3" t="s">
        <v>28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34</v>
      </c>
      <c r="K3" t="s">
        <v>34</v>
      </c>
      <c r="L3" t="s">
        <v>35</v>
      </c>
      <c r="M3" t="s">
        <v>34</v>
      </c>
      <c r="N3" t="s">
        <v>35</v>
      </c>
      <c r="O3" t="s">
        <v>46</v>
      </c>
      <c r="P3" t="s">
        <v>35</v>
      </c>
      <c r="Q3" t="s">
        <v>35</v>
      </c>
      <c r="R3" t="s">
        <v>47</v>
      </c>
      <c r="S3" t="s">
        <v>35</v>
      </c>
      <c r="T3" t="s">
        <v>35</v>
      </c>
      <c r="U3" t="s">
        <v>35</v>
      </c>
      <c r="V3" t="s">
        <v>35</v>
      </c>
      <c r="W3" t="s">
        <v>35</v>
      </c>
      <c r="X3" t="s">
        <v>48</v>
      </c>
      <c r="Y3" t="s">
        <v>35</v>
      </c>
    </row>
    <row r="4" spans="1:28">
      <c r="A4" s="1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54</v>
      </c>
      <c r="G4" t="s">
        <v>55</v>
      </c>
      <c r="H4" t="s">
        <v>56</v>
      </c>
      <c r="I4" t="s">
        <v>57</v>
      </c>
      <c r="J4" t="s">
        <v>35</v>
      </c>
      <c r="K4" t="s">
        <v>35</v>
      </c>
      <c r="L4" t="s">
        <v>35</v>
      </c>
      <c r="M4" t="s">
        <v>34</v>
      </c>
      <c r="N4" t="s">
        <v>34</v>
      </c>
      <c r="O4" t="s">
        <v>58</v>
      </c>
      <c r="P4" t="s">
        <v>35</v>
      </c>
      <c r="Q4" t="s">
        <v>35</v>
      </c>
      <c r="R4" t="s">
        <v>59</v>
      </c>
      <c r="S4" t="s">
        <v>35</v>
      </c>
      <c r="T4" t="s">
        <v>35</v>
      </c>
      <c r="U4" t="s">
        <v>35</v>
      </c>
      <c r="V4" t="s">
        <v>35</v>
      </c>
      <c r="W4" t="s">
        <v>35</v>
      </c>
      <c r="X4" t="s">
        <v>60</v>
      </c>
      <c r="Y4" t="s">
        <v>35</v>
      </c>
    </row>
    <row r="5" spans="1:28">
      <c r="A5" s="1" t="s">
        <v>25</v>
      </c>
      <c r="B5" t="s">
        <v>26</v>
      </c>
      <c r="C5" t="s">
        <v>27</v>
      </c>
      <c r="D5" t="s">
        <v>28</v>
      </c>
      <c r="E5" t="s">
        <v>61</v>
      </c>
      <c r="F5" t="s">
        <v>30</v>
      </c>
      <c r="G5" t="s">
        <v>31</v>
      </c>
      <c r="H5" t="s">
        <v>32</v>
      </c>
      <c r="I5" t="s">
        <v>62</v>
      </c>
      <c r="J5" t="s">
        <v>34</v>
      </c>
      <c r="K5" t="s">
        <v>34</v>
      </c>
      <c r="L5" t="s">
        <v>34</v>
      </c>
      <c r="M5" t="s">
        <v>34</v>
      </c>
      <c r="N5" t="s">
        <v>35</v>
      </c>
      <c r="O5" t="s">
        <v>36</v>
      </c>
      <c r="P5" t="s">
        <v>34</v>
      </c>
      <c r="Q5" t="s">
        <v>34</v>
      </c>
      <c r="R5" t="s">
        <v>63</v>
      </c>
      <c r="S5" t="s">
        <v>34</v>
      </c>
      <c r="T5" t="s">
        <v>35</v>
      </c>
      <c r="U5" t="s">
        <v>34</v>
      </c>
      <c r="V5" t="s">
        <v>35</v>
      </c>
      <c r="W5" t="s">
        <v>34</v>
      </c>
      <c r="X5" t="s">
        <v>64</v>
      </c>
      <c r="Y5" t="s">
        <v>35</v>
      </c>
    </row>
    <row r="6" spans="1:28">
      <c r="A6" s="1" t="s">
        <v>39</v>
      </c>
      <c r="B6" t="s">
        <v>50</v>
      </c>
      <c r="C6" t="s">
        <v>51</v>
      </c>
      <c r="D6" t="s">
        <v>28</v>
      </c>
      <c r="E6" t="s">
        <v>65</v>
      </c>
      <c r="F6" t="s">
        <v>66</v>
      </c>
      <c r="G6" t="s">
        <v>43</v>
      </c>
      <c r="H6" t="s">
        <v>44</v>
      </c>
      <c r="I6" t="s">
        <v>67</v>
      </c>
      <c r="J6" t="s">
        <v>34</v>
      </c>
      <c r="K6" t="s">
        <v>34</v>
      </c>
      <c r="L6" t="s">
        <v>35</v>
      </c>
      <c r="M6" t="s">
        <v>34</v>
      </c>
      <c r="N6" t="s">
        <v>35</v>
      </c>
      <c r="O6" t="s">
        <v>68</v>
      </c>
      <c r="P6" t="s">
        <v>35</v>
      </c>
      <c r="Q6" t="s">
        <v>35</v>
      </c>
      <c r="R6" t="s">
        <v>37</v>
      </c>
      <c r="S6" t="s">
        <v>35</v>
      </c>
      <c r="T6" t="s">
        <v>35</v>
      </c>
      <c r="U6" t="s">
        <v>35</v>
      </c>
      <c r="V6" t="s">
        <v>35</v>
      </c>
      <c r="W6" t="s">
        <v>35</v>
      </c>
      <c r="X6" t="s">
        <v>69</v>
      </c>
      <c r="Y6" t="s">
        <v>35</v>
      </c>
    </row>
    <row r="7" spans="1:28">
      <c r="A7" s="1" t="s">
        <v>25</v>
      </c>
      <c r="B7" t="s">
        <v>26</v>
      </c>
      <c r="C7" t="s">
        <v>40</v>
      </c>
      <c r="D7" t="s">
        <v>28</v>
      </c>
      <c r="E7" t="s">
        <v>70</v>
      </c>
      <c r="F7" t="s">
        <v>42</v>
      </c>
      <c r="G7" t="s">
        <v>43</v>
      </c>
      <c r="H7" t="s">
        <v>32</v>
      </c>
      <c r="I7" t="s">
        <v>71</v>
      </c>
      <c r="J7" t="s">
        <v>34</v>
      </c>
      <c r="K7" t="s">
        <v>35</v>
      </c>
      <c r="L7" t="s">
        <v>35</v>
      </c>
      <c r="M7" t="s">
        <v>34</v>
      </c>
      <c r="N7" t="s">
        <v>35</v>
      </c>
      <c r="O7" t="s">
        <v>72</v>
      </c>
      <c r="P7" t="s">
        <v>35</v>
      </c>
      <c r="Q7" t="s">
        <v>35</v>
      </c>
      <c r="R7" t="s">
        <v>73</v>
      </c>
      <c r="S7" t="s">
        <v>35</v>
      </c>
      <c r="T7" t="s">
        <v>35</v>
      </c>
      <c r="U7" t="s">
        <v>35</v>
      </c>
      <c r="V7" t="s">
        <v>35</v>
      </c>
      <c r="W7" t="s">
        <v>35</v>
      </c>
      <c r="X7" t="s">
        <v>74</v>
      </c>
      <c r="Y7" t="s">
        <v>35</v>
      </c>
    </row>
    <row r="8" spans="1:28">
      <c r="A8" s="1" t="s">
        <v>49</v>
      </c>
      <c r="B8" t="s">
        <v>26</v>
      </c>
      <c r="C8" t="s">
        <v>51</v>
      </c>
      <c r="D8" t="s">
        <v>75</v>
      </c>
      <c r="E8" t="s">
        <v>76</v>
      </c>
      <c r="F8" t="s">
        <v>77</v>
      </c>
      <c r="G8" t="s">
        <v>55</v>
      </c>
      <c r="H8" t="s">
        <v>44</v>
      </c>
      <c r="I8" t="s">
        <v>78</v>
      </c>
      <c r="J8" t="s">
        <v>35</v>
      </c>
      <c r="K8" t="s">
        <v>34</v>
      </c>
      <c r="L8" t="s">
        <v>34</v>
      </c>
      <c r="M8" t="s">
        <v>34</v>
      </c>
      <c r="N8" t="s">
        <v>34</v>
      </c>
      <c r="O8" t="s">
        <v>79</v>
      </c>
      <c r="P8" t="s">
        <v>35</v>
      </c>
      <c r="Q8" t="s">
        <v>35</v>
      </c>
      <c r="R8" t="s">
        <v>37</v>
      </c>
      <c r="S8" t="s">
        <v>35</v>
      </c>
      <c r="T8" t="s">
        <v>35</v>
      </c>
      <c r="U8" t="s">
        <v>35</v>
      </c>
      <c r="V8" t="s">
        <v>35</v>
      </c>
      <c r="W8" t="s">
        <v>35</v>
      </c>
      <c r="X8" t="s">
        <v>80</v>
      </c>
      <c r="Y8" t="s">
        <v>35</v>
      </c>
    </row>
    <row r="9" spans="1:28">
      <c r="A9" s="1" t="s">
        <v>81</v>
      </c>
      <c r="B9" t="s">
        <v>26</v>
      </c>
      <c r="C9" t="s">
        <v>27</v>
      </c>
      <c r="D9" t="s">
        <v>28</v>
      </c>
      <c r="E9" t="s">
        <v>82</v>
      </c>
      <c r="F9" t="s">
        <v>30</v>
      </c>
      <c r="G9" t="s">
        <v>31</v>
      </c>
      <c r="H9" t="s">
        <v>32</v>
      </c>
      <c r="I9" t="s">
        <v>83</v>
      </c>
      <c r="J9" t="s">
        <v>34</v>
      </c>
      <c r="K9" t="s">
        <v>34</v>
      </c>
      <c r="L9" t="s">
        <v>34</v>
      </c>
      <c r="M9" t="s">
        <v>34</v>
      </c>
      <c r="N9" t="s">
        <v>35</v>
      </c>
      <c r="O9" t="s">
        <v>84</v>
      </c>
      <c r="P9" t="s">
        <v>34</v>
      </c>
      <c r="Q9" t="s">
        <v>34</v>
      </c>
      <c r="R9" t="s">
        <v>63</v>
      </c>
      <c r="S9" t="s">
        <v>34</v>
      </c>
      <c r="T9" t="s">
        <v>34</v>
      </c>
      <c r="U9" t="s">
        <v>34</v>
      </c>
      <c r="V9" t="s">
        <v>35</v>
      </c>
      <c r="W9" t="s">
        <v>34</v>
      </c>
      <c r="X9" t="s">
        <v>85</v>
      </c>
      <c r="Y9" t="s">
        <v>34</v>
      </c>
    </row>
    <row r="10" spans="1:28">
      <c r="A10" s="1" t="s">
        <v>25</v>
      </c>
      <c r="B10" t="s">
        <v>50</v>
      </c>
      <c r="C10" t="s">
        <v>27</v>
      </c>
      <c r="D10" t="s">
        <v>52</v>
      </c>
      <c r="E10" t="s">
        <v>86</v>
      </c>
      <c r="F10" t="s">
        <v>54</v>
      </c>
      <c r="G10" t="s">
        <v>55</v>
      </c>
      <c r="H10" t="s">
        <v>87</v>
      </c>
      <c r="I10" t="s">
        <v>57</v>
      </c>
      <c r="J10" t="s">
        <v>35</v>
      </c>
      <c r="K10" t="s">
        <v>35</v>
      </c>
      <c r="L10" t="s">
        <v>35</v>
      </c>
      <c r="M10" t="s">
        <v>35</v>
      </c>
      <c r="N10" t="s">
        <v>34</v>
      </c>
      <c r="O10" t="s">
        <v>88</v>
      </c>
      <c r="P10" t="s">
        <v>35</v>
      </c>
      <c r="Q10" t="s">
        <v>35</v>
      </c>
      <c r="R10" t="s">
        <v>59</v>
      </c>
      <c r="S10" t="s">
        <v>35</v>
      </c>
      <c r="T10" t="s">
        <v>35</v>
      </c>
      <c r="U10" t="s">
        <v>35</v>
      </c>
      <c r="V10" t="s">
        <v>35</v>
      </c>
      <c r="W10" t="s">
        <v>35</v>
      </c>
      <c r="X10" t="s">
        <v>89</v>
      </c>
      <c r="Y10" t="s">
        <v>35</v>
      </c>
    </row>
    <row r="11" spans="1:28">
      <c r="A11" s="1" t="s">
        <v>39</v>
      </c>
      <c r="B11" t="s">
        <v>26</v>
      </c>
      <c r="C11" t="s">
        <v>40</v>
      </c>
      <c r="D11" t="s">
        <v>28</v>
      </c>
      <c r="E11" t="s">
        <v>29</v>
      </c>
      <c r="F11" t="s">
        <v>42</v>
      </c>
      <c r="G11" t="s">
        <v>43</v>
      </c>
      <c r="H11" t="s">
        <v>44</v>
      </c>
      <c r="I11" t="s">
        <v>90</v>
      </c>
      <c r="J11" t="s">
        <v>34</v>
      </c>
      <c r="K11" t="s">
        <v>34</v>
      </c>
      <c r="L11" t="s">
        <v>35</v>
      </c>
      <c r="M11" t="s">
        <v>34</v>
      </c>
      <c r="N11" t="s">
        <v>35</v>
      </c>
      <c r="O11" t="s">
        <v>72</v>
      </c>
      <c r="P11" t="s">
        <v>35</v>
      </c>
      <c r="Q11" t="s">
        <v>35</v>
      </c>
      <c r="R11" t="s">
        <v>47</v>
      </c>
      <c r="S11" t="s">
        <v>35</v>
      </c>
      <c r="T11" t="s">
        <v>35</v>
      </c>
      <c r="U11" t="s">
        <v>35</v>
      </c>
      <c r="V11" t="s">
        <v>35</v>
      </c>
      <c r="W11" t="s">
        <v>35</v>
      </c>
      <c r="X11" t="s">
        <v>91</v>
      </c>
      <c r="Y11" t="s">
        <v>35</v>
      </c>
    </row>
    <row r="12" spans="1:28">
      <c r="A12" s="1" t="s">
        <v>25</v>
      </c>
      <c r="B12" t="s">
        <v>26</v>
      </c>
      <c r="C12" t="s">
        <v>27</v>
      </c>
      <c r="D12" t="s">
        <v>28</v>
      </c>
      <c r="E12" t="s">
        <v>41</v>
      </c>
      <c r="F12" t="s">
        <v>30</v>
      </c>
      <c r="G12" t="s">
        <v>31</v>
      </c>
      <c r="H12" t="s">
        <v>32</v>
      </c>
      <c r="I12" t="s">
        <v>33</v>
      </c>
      <c r="J12" t="s">
        <v>34</v>
      </c>
      <c r="K12" t="s">
        <v>34</v>
      </c>
      <c r="L12" t="s">
        <v>34</v>
      </c>
      <c r="M12" t="s">
        <v>34</v>
      </c>
      <c r="N12" t="s">
        <v>35</v>
      </c>
      <c r="O12" t="s">
        <v>84</v>
      </c>
      <c r="P12" t="s">
        <v>34</v>
      </c>
      <c r="Q12" t="s">
        <v>34</v>
      </c>
      <c r="R12" t="s">
        <v>63</v>
      </c>
      <c r="S12" t="s">
        <v>34</v>
      </c>
      <c r="T12" t="s">
        <v>34</v>
      </c>
      <c r="U12" t="s">
        <v>34</v>
      </c>
      <c r="V12" t="s">
        <v>35</v>
      </c>
      <c r="W12" t="s">
        <v>34</v>
      </c>
      <c r="X12" t="s">
        <v>64</v>
      </c>
      <c r="Y12" t="s">
        <v>34</v>
      </c>
    </row>
    <row r="13" spans="1:28">
      <c r="A13" s="1" t="s">
        <v>49</v>
      </c>
      <c r="B13" t="s">
        <v>50</v>
      </c>
      <c r="C13" t="s">
        <v>51</v>
      </c>
      <c r="D13" t="s">
        <v>52</v>
      </c>
      <c r="E13" t="s">
        <v>53</v>
      </c>
      <c r="F13" t="s">
        <v>77</v>
      </c>
      <c r="G13" t="s">
        <v>55</v>
      </c>
      <c r="H13" t="s">
        <v>56</v>
      </c>
      <c r="I13" t="s">
        <v>92</v>
      </c>
      <c r="J13" t="s">
        <v>35</v>
      </c>
      <c r="K13" t="s">
        <v>35</v>
      </c>
      <c r="L13" t="s">
        <v>35</v>
      </c>
      <c r="M13" t="s">
        <v>35</v>
      </c>
      <c r="N13" t="s">
        <v>34</v>
      </c>
      <c r="O13" t="s">
        <v>93</v>
      </c>
      <c r="P13" t="s">
        <v>35</v>
      </c>
      <c r="Q13" t="s">
        <v>35</v>
      </c>
      <c r="R13" t="s">
        <v>59</v>
      </c>
      <c r="S13" t="s">
        <v>35</v>
      </c>
      <c r="T13" t="s">
        <v>35</v>
      </c>
      <c r="U13" t="s">
        <v>35</v>
      </c>
      <c r="V13" t="s">
        <v>35</v>
      </c>
      <c r="W13" t="s">
        <v>35</v>
      </c>
      <c r="X13" t="s">
        <v>60</v>
      </c>
      <c r="Y13" t="s">
        <v>35</v>
      </c>
    </row>
    <row r="14" spans="1:28">
      <c r="A14" s="1" t="s">
        <v>39</v>
      </c>
      <c r="B14" t="s">
        <v>26</v>
      </c>
      <c r="C14" t="s">
        <v>40</v>
      </c>
      <c r="D14" t="s">
        <v>28</v>
      </c>
      <c r="E14" t="s">
        <v>61</v>
      </c>
      <c r="F14" t="s">
        <v>42</v>
      </c>
      <c r="G14" t="s">
        <v>43</v>
      </c>
      <c r="H14" t="s">
        <v>32</v>
      </c>
      <c r="I14" t="s">
        <v>71</v>
      </c>
      <c r="J14" t="s">
        <v>34</v>
      </c>
      <c r="K14" t="s">
        <v>34</v>
      </c>
      <c r="L14" t="s">
        <v>35</v>
      </c>
      <c r="M14" t="s">
        <v>34</v>
      </c>
      <c r="N14" t="s">
        <v>35</v>
      </c>
      <c r="O14" t="s">
        <v>94</v>
      </c>
      <c r="P14" t="s">
        <v>35</v>
      </c>
      <c r="Q14" t="s">
        <v>35</v>
      </c>
      <c r="R14" t="s">
        <v>73</v>
      </c>
      <c r="S14" t="s">
        <v>35</v>
      </c>
      <c r="T14" t="s">
        <v>35</v>
      </c>
      <c r="U14" t="s">
        <v>35</v>
      </c>
      <c r="V14" t="s">
        <v>35</v>
      </c>
      <c r="W14" t="s">
        <v>35</v>
      </c>
      <c r="X14" t="s">
        <v>74</v>
      </c>
      <c r="Y14" t="s">
        <v>35</v>
      </c>
    </row>
    <row r="15" spans="1:28">
      <c r="A15" s="1" t="s">
        <v>25</v>
      </c>
      <c r="B15" t="s">
        <v>26</v>
      </c>
      <c r="C15" t="s">
        <v>27</v>
      </c>
      <c r="D15" t="s">
        <v>28</v>
      </c>
      <c r="E15" t="s">
        <v>65</v>
      </c>
      <c r="F15" t="s">
        <v>30</v>
      </c>
      <c r="G15" t="s">
        <v>31</v>
      </c>
      <c r="H15" t="s">
        <v>44</v>
      </c>
      <c r="I15" t="s">
        <v>95</v>
      </c>
      <c r="J15" t="s">
        <v>34</v>
      </c>
      <c r="K15" t="s">
        <v>34</v>
      </c>
      <c r="L15" t="s">
        <v>34</v>
      </c>
      <c r="M15" t="s">
        <v>34</v>
      </c>
      <c r="N15" t="s">
        <v>35</v>
      </c>
      <c r="O15" t="s">
        <v>84</v>
      </c>
      <c r="P15" t="s">
        <v>34</v>
      </c>
      <c r="Q15" t="s">
        <v>34</v>
      </c>
      <c r="R15" t="s">
        <v>63</v>
      </c>
      <c r="S15" t="s">
        <v>34</v>
      </c>
      <c r="T15" t="s">
        <v>34</v>
      </c>
      <c r="U15" t="s">
        <v>34</v>
      </c>
      <c r="V15" t="s">
        <v>35</v>
      </c>
      <c r="W15" t="s">
        <v>34</v>
      </c>
      <c r="X15" t="s">
        <v>96</v>
      </c>
      <c r="Y15" t="s">
        <v>34</v>
      </c>
    </row>
    <row r="16" spans="1:28">
      <c r="A16" s="1" t="s">
        <v>49</v>
      </c>
      <c r="B16" t="s">
        <v>26</v>
      </c>
      <c r="C16" t="s">
        <v>51</v>
      </c>
      <c r="D16" t="s">
        <v>75</v>
      </c>
      <c r="E16" t="s">
        <v>70</v>
      </c>
      <c r="F16" t="s">
        <v>54</v>
      </c>
      <c r="G16" t="s">
        <v>55</v>
      </c>
      <c r="H16" t="s">
        <v>44</v>
      </c>
      <c r="I16" t="s">
        <v>97</v>
      </c>
      <c r="J16" t="s">
        <v>35</v>
      </c>
      <c r="K16" t="s">
        <v>35</v>
      </c>
      <c r="L16" t="s">
        <v>35</v>
      </c>
      <c r="M16" t="s">
        <v>34</v>
      </c>
      <c r="N16" t="s">
        <v>34</v>
      </c>
      <c r="O16" t="s">
        <v>88</v>
      </c>
      <c r="P16" t="s">
        <v>35</v>
      </c>
      <c r="Q16" t="s">
        <v>35</v>
      </c>
      <c r="R16" t="s">
        <v>37</v>
      </c>
      <c r="S16" t="s">
        <v>35</v>
      </c>
      <c r="T16" t="s">
        <v>35</v>
      </c>
      <c r="U16" t="s">
        <v>35</v>
      </c>
      <c r="V16" t="s">
        <v>35</v>
      </c>
      <c r="W16" t="s">
        <v>35</v>
      </c>
      <c r="X16" t="s">
        <v>60</v>
      </c>
      <c r="Y16" t="s">
        <v>35</v>
      </c>
    </row>
    <row r="17" spans="1:25">
      <c r="A17" s="1" t="s">
        <v>39</v>
      </c>
      <c r="B17" t="s">
        <v>50</v>
      </c>
      <c r="C17" t="s">
        <v>27</v>
      </c>
      <c r="D17" t="s">
        <v>28</v>
      </c>
      <c r="E17" t="s">
        <v>76</v>
      </c>
      <c r="F17" t="s">
        <v>66</v>
      </c>
      <c r="G17" t="s">
        <v>43</v>
      </c>
      <c r="H17" t="s">
        <v>87</v>
      </c>
      <c r="I17" t="s">
        <v>98</v>
      </c>
      <c r="J17" t="s">
        <v>34</v>
      </c>
      <c r="K17" t="s">
        <v>34</v>
      </c>
      <c r="L17" t="s">
        <v>35</v>
      </c>
      <c r="M17" t="s">
        <v>34</v>
      </c>
      <c r="N17" t="s">
        <v>35</v>
      </c>
      <c r="O17" t="s">
        <v>68</v>
      </c>
      <c r="P17" t="s">
        <v>35</v>
      </c>
      <c r="Q17" t="s">
        <v>35</v>
      </c>
      <c r="R17" t="s">
        <v>47</v>
      </c>
      <c r="S17" t="s">
        <v>35</v>
      </c>
      <c r="T17" t="s">
        <v>35</v>
      </c>
      <c r="U17" t="s">
        <v>35</v>
      </c>
      <c r="V17" t="s">
        <v>35</v>
      </c>
      <c r="W17" t="s">
        <v>35</v>
      </c>
      <c r="X17" t="s">
        <v>91</v>
      </c>
      <c r="Y17" t="s">
        <v>35</v>
      </c>
    </row>
    <row r="18" spans="1:25">
      <c r="A18" s="1" t="s">
        <v>81</v>
      </c>
      <c r="B18" t="s">
        <v>26</v>
      </c>
      <c r="C18" t="s">
        <v>40</v>
      </c>
      <c r="D18" t="s">
        <v>28</v>
      </c>
      <c r="E18" t="s">
        <v>82</v>
      </c>
      <c r="F18" t="s">
        <v>30</v>
      </c>
      <c r="G18" t="s">
        <v>31</v>
      </c>
      <c r="H18" t="s">
        <v>32</v>
      </c>
      <c r="I18" t="s">
        <v>99</v>
      </c>
      <c r="J18" t="s">
        <v>34</v>
      </c>
      <c r="K18" t="s">
        <v>34</v>
      </c>
      <c r="L18" t="s">
        <v>34</v>
      </c>
      <c r="M18" t="s">
        <v>34</v>
      </c>
      <c r="N18" t="s">
        <v>35</v>
      </c>
      <c r="O18" t="s">
        <v>84</v>
      </c>
      <c r="P18" t="s">
        <v>34</v>
      </c>
      <c r="Q18" t="s">
        <v>34</v>
      </c>
      <c r="R18" t="s">
        <v>63</v>
      </c>
      <c r="S18" t="s">
        <v>34</v>
      </c>
      <c r="T18" t="s">
        <v>34</v>
      </c>
      <c r="U18" t="s">
        <v>34</v>
      </c>
      <c r="V18" t="s">
        <v>35</v>
      </c>
      <c r="W18" t="s">
        <v>34</v>
      </c>
      <c r="X18" t="s">
        <v>64</v>
      </c>
      <c r="Y18" t="s">
        <v>34</v>
      </c>
    </row>
    <row r="19" spans="1:25">
      <c r="A19" s="1" t="s">
        <v>25</v>
      </c>
      <c r="B19" t="s">
        <v>50</v>
      </c>
      <c r="C19" t="s">
        <v>27</v>
      </c>
      <c r="D19" t="s">
        <v>52</v>
      </c>
      <c r="E19" t="s">
        <v>86</v>
      </c>
      <c r="F19" t="s">
        <v>77</v>
      </c>
      <c r="G19" t="s">
        <v>43</v>
      </c>
      <c r="H19" t="s">
        <v>44</v>
      </c>
      <c r="I19" t="s">
        <v>57</v>
      </c>
      <c r="J19" t="s">
        <v>35</v>
      </c>
      <c r="K19" t="s">
        <v>35</v>
      </c>
      <c r="L19" t="s">
        <v>35</v>
      </c>
      <c r="M19" t="s">
        <v>35</v>
      </c>
      <c r="N19" t="s">
        <v>34</v>
      </c>
      <c r="O19" t="s">
        <v>72</v>
      </c>
      <c r="P19" t="s">
        <v>35</v>
      </c>
      <c r="Q19" t="s">
        <v>35</v>
      </c>
      <c r="R19" t="s">
        <v>37</v>
      </c>
      <c r="S19" t="s">
        <v>35</v>
      </c>
      <c r="T19" t="s">
        <v>35</v>
      </c>
      <c r="U19" t="s">
        <v>35</v>
      </c>
      <c r="V19" t="s">
        <v>35</v>
      </c>
      <c r="W19" t="s">
        <v>35</v>
      </c>
      <c r="X19" t="s">
        <v>60</v>
      </c>
      <c r="Y19" t="s">
        <v>35</v>
      </c>
    </row>
    <row r="20" spans="1:25">
      <c r="A20" s="1" t="s">
        <v>39</v>
      </c>
      <c r="B20" t="s">
        <v>26</v>
      </c>
      <c r="C20" t="s">
        <v>40</v>
      </c>
      <c r="D20" t="s">
        <v>28</v>
      </c>
      <c r="E20" t="s">
        <v>29</v>
      </c>
      <c r="F20" t="s">
        <v>42</v>
      </c>
      <c r="G20" t="s">
        <v>43</v>
      </c>
      <c r="H20" t="s">
        <v>32</v>
      </c>
      <c r="I20" t="s">
        <v>100</v>
      </c>
      <c r="J20" t="s">
        <v>34</v>
      </c>
      <c r="K20" t="s">
        <v>34</v>
      </c>
      <c r="L20" t="s">
        <v>35</v>
      </c>
      <c r="M20" t="s">
        <v>34</v>
      </c>
      <c r="N20" t="s">
        <v>35</v>
      </c>
      <c r="O20" t="s">
        <v>36</v>
      </c>
      <c r="P20" t="s">
        <v>35</v>
      </c>
      <c r="Q20" t="s">
        <v>35</v>
      </c>
      <c r="R20" t="s">
        <v>73</v>
      </c>
      <c r="S20" t="s">
        <v>35</v>
      </c>
      <c r="T20" t="s">
        <v>35</v>
      </c>
      <c r="U20" t="s">
        <v>35</v>
      </c>
      <c r="V20" t="s">
        <v>35</v>
      </c>
      <c r="W20" t="s">
        <v>35</v>
      </c>
      <c r="X20" t="s">
        <v>74</v>
      </c>
      <c r="Y20" t="s">
        <v>35</v>
      </c>
    </row>
    <row r="21" spans="1:25">
      <c r="A21" s="1" t="s">
        <v>49</v>
      </c>
      <c r="B21" t="s">
        <v>26</v>
      </c>
      <c r="C21" t="s">
        <v>51</v>
      </c>
      <c r="D21" t="s">
        <v>52</v>
      </c>
      <c r="E21" t="s">
        <v>41</v>
      </c>
      <c r="F21" t="s">
        <v>54</v>
      </c>
      <c r="G21" t="s">
        <v>55</v>
      </c>
      <c r="H21" t="s">
        <v>44</v>
      </c>
      <c r="I21" t="s">
        <v>57</v>
      </c>
      <c r="J21" t="s">
        <v>35</v>
      </c>
      <c r="K21" t="s">
        <v>35</v>
      </c>
      <c r="L21" t="s">
        <v>35</v>
      </c>
      <c r="M21" t="s">
        <v>34</v>
      </c>
      <c r="N21" t="s">
        <v>34</v>
      </c>
      <c r="O21" t="s">
        <v>58</v>
      </c>
      <c r="P21" t="s">
        <v>35</v>
      </c>
      <c r="Q21" t="s">
        <v>35</v>
      </c>
      <c r="R21" t="s">
        <v>59</v>
      </c>
      <c r="S21" t="s">
        <v>35</v>
      </c>
      <c r="T21" t="s">
        <v>35</v>
      </c>
      <c r="U21" t="s">
        <v>35</v>
      </c>
      <c r="V21" t="s">
        <v>35</v>
      </c>
      <c r="W21" t="s">
        <v>35</v>
      </c>
      <c r="X21" t="s">
        <v>89</v>
      </c>
      <c r="Y21" t="s">
        <v>35</v>
      </c>
    </row>
    <row r="22" spans="1:25">
      <c r="A22" s="1" t="s">
        <v>25</v>
      </c>
      <c r="B22" t="s">
        <v>26</v>
      </c>
      <c r="C22" t="s">
        <v>27</v>
      </c>
      <c r="D22" t="s">
        <v>28</v>
      </c>
      <c r="E22" t="s">
        <v>53</v>
      </c>
      <c r="F22" t="s">
        <v>30</v>
      </c>
      <c r="G22" t="s">
        <v>31</v>
      </c>
      <c r="H22" t="s">
        <v>32</v>
      </c>
      <c r="I22" t="s">
        <v>83</v>
      </c>
      <c r="J22" t="s">
        <v>34</v>
      </c>
      <c r="K22" t="s">
        <v>34</v>
      </c>
      <c r="L22" t="s">
        <v>34</v>
      </c>
      <c r="M22" t="s">
        <v>34</v>
      </c>
      <c r="N22" t="s">
        <v>35</v>
      </c>
      <c r="O22" t="s">
        <v>84</v>
      </c>
      <c r="P22" t="s">
        <v>34</v>
      </c>
      <c r="Q22" t="s">
        <v>34</v>
      </c>
      <c r="R22" t="s">
        <v>63</v>
      </c>
      <c r="S22" t="s">
        <v>34</v>
      </c>
      <c r="T22" t="s">
        <v>34</v>
      </c>
      <c r="U22" t="s">
        <v>34</v>
      </c>
      <c r="V22" t="s">
        <v>35</v>
      </c>
      <c r="W22" t="s">
        <v>34</v>
      </c>
      <c r="X22" t="s">
        <v>64</v>
      </c>
      <c r="Y22" t="s">
        <v>34</v>
      </c>
    </row>
    <row r="23" spans="1:25">
      <c r="A23" s="1" t="s">
        <v>39</v>
      </c>
      <c r="B23" t="s">
        <v>50</v>
      </c>
      <c r="C23" t="s">
        <v>27</v>
      </c>
      <c r="D23" t="s">
        <v>28</v>
      </c>
      <c r="E23" t="s">
        <v>61</v>
      </c>
      <c r="F23" t="s">
        <v>66</v>
      </c>
      <c r="G23" t="s">
        <v>43</v>
      </c>
      <c r="H23" t="s">
        <v>87</v>
      </c>
      <c r="I23" t="s">
        <v>67</v>
      </c>
      <c r="J23" t="s">
        <v>34</v>
      </c>
      <c r="K23" t="s">
        <v>35</v>
      </c>
      <c r="L23" t="s">
        <v>35</v>
      </c>
      <c r="M23" t="s">
        <v>34</v>
      </c>
      <c r="N23" t="s">
        <v>35</v>
      </c>
      <c r="O23" t="s">
        <v>68</v>
      </c>
      <c r="P23" t="s">
        <v>35</v>
      </c>
      <c r="Q23" t="s">
        <v>35</v>
      </c>
      <c r="R23" t="s">
        <v>37</v>
      </c>
      <c r="S23" t="s">
        <v>35</v>
      </c>
      <c r="T23" t="s">
        <v>35</v>
      </c>
      <c r="U23" t="s">
        <v>35</v>
      </c>
      <c r="V23" t="s">
        <v>35</v>
      </c>
      <c r="W23" t="s">
        <v>35</v>
      </c>
      <c r="X23" t="s">
        <v>69</v>
      </c>
      <c r="Y23" t="s">
        <v>35</v>
      </c>
    </row>
    <row r="24" spans="1:25">
      <c r="A24" s="1" t="s">
        <v>25</v>
      </c>
      <c r="B24" t="s">
        <v>26</v>
      </c>
      <c r="C24" t="s">
        <v>40</v>
      </c>
      <c r="D24" t="s">
        <v>28</v>
      </c>
      <c r="E24" t="s">
        <v>65</v>
      </c>
      <c r="F24" t="s">
        <v>42</v>
      </c>
      <c r="G24" t="s">
        <v>43</v>
      </c>
      <c r="H24" t="s">
        <v>32</v>
      </c>
      <c r="I24" t="s">
        <v>101</v>
      </c>
      <c r="J24" t="s">
        <v>34</v>
      </c>
      <c r="K24" t="s">
        <v>34</v>
      </c>
      <c r="L24" t="s">
        <v>35</v>
      </c>
      <c r="M24" t="s">
        <v>34</v>
      </c>
      <c r="N24" t="s">
        <v>35</v>
      </c>
      <c r="O24" t="s">
        <v>72</v>
      </c>
      <c r="P24" t="s">
        <v>35</v>
      </c>
      <c r="Q24" t="s">
        <v>35</v>
      </c>
      <c r="R24" t="s">
        <v>47</v>
      </c>
      <c r="S24" t="s">
        <v>35</v>
      </c>
      <c r="T24" t="s">
        <v>35</v>
      </c>
      <c r="U24" t="s">
        <v>35</v>
      </c>
      <c r="V24" t="s">
        <v>35</v>
      </c>
      <c r="W24" t="s">
        <v>35</v>
      </c>
      <c r="X24" t="s">
        <v>91</v>
      </c>
      <c r="Y24" t="s">
        <v>35</v>
      </c>
    </row>
    <row r="25" spans="1:25">
      <c r="A25" s="1" t="s">
        <v>49</v>
      </c>
      <c r="B25" t="s">
        <v>50</v>
      </c>
      <c r="C25" t="s">
        <v>51</v>
      </c>
      <c r="D25" t="s">
        <v>75</v>
      </c>
      <c r="E25" t="s">
        <v>70</v>
      </c>
      <c r="F25" t="s">
        <v>77</v>
      </c>
      <c r="G25" t="s">
        <v>55</v>
      </c>
      <c r="H25" t="s">
        <v>56</v>
      </c>
      <c r="I25" t="s">
        <v>78</v>
      </c>
      <c r="J25" t="s">
        <v>35</v>
      </c>
      <c r="K25" t="s">
        <v>35</v>
      </c>
      <c r="L25" t="s">
        <v>35</v>
      </c>
      <c r="M25" t="s">
        <v>35</v>
      </c>
      <c r="N25" t="s">
        <v>34</v>
      </c>
      <c r="O25" t="s">
        <v>79</v>
      </c>
      <c r="P25" t="s">
        <v>35</v>
      </c>
      <c r="Q25" t="s">
        <v>35</v>
      </c>
      <c r="R25" t="s">
        <v>59</v>
      </c>
      <c r="S25" t="s">
        <v>35</v>
      </c>
      <c r="T25" t="s">
        <v>35</v>
      </c>
      <c r="U25" t="s">
        <v>35</v>
      </c>
      <c r="V25" t="s">
        <v>35</v>
      </c>
      <c r="W25" t="s">
        <v>35</v>
      </c>
      <c r="X25" t="s">
        <v>80</v>
      </c>
      <c r="Y25" t="s">
        <v>35</v>
      </c>
    </row>
    <row r="26" spans="1:25">
      <c r="A26" s="1" t="s">
        <v>81</v>
      </c>
      <c r="B26" t="s">
        <v>26</v>
      </c>
      <c r="C26" t="s">
        <v>27</v>
      </c>
      <c r="D26" t="s">
        <v>28</v>
      </c>
      <c r="E26" t="s">
        <v>76</v>
      </c>
      <c r="F26" t="s">
        <v>30</v>
      </c>
      <c r="G26" t="s">
        <v>31</v>
      </c>
      <c r="H26" t="s">
        <v>32</v>
      </c>
      <c r="I26" t="s">
        <v>99</v>
      </c>
      <c r="J26" t="s">
        <v>34</v>
      </c>
      <c r="K26" t="s">
        <v>34</v>
      </c>
      <c r="L26" t="s">
        <v>34</v>
      </c>
      <c r="M26" t="s">
        <v>34</v>
      </c>
      <c r="N26" t="s">
        <v>35</v>
      </c>
      <c r="O26" t="s">
        <v>84</v>
      </c>
      <c r="P26" t="s">
        <v>34</v>
      </c>
      <c r="Q26" t="s">
        <v>34</v>
      </c>
      <c r="R26" t="s">
        <v>63</v>
      </c>
      <c r="S26" t="s">
        <v>34</v>
      </c>
      <c r="T26" t="s">
        <v>34</v>
      </c>
      <c r="U26" t="s">
        <v>34</v>
      </c>
      <c r="V26" t="s">
        <v>35</v>
      </c>
      <c r="W26" t="s">
        <v>34</v>
      </c>
      <c r="X26" t="s">
        <v>64</v>
      </c>
      <c r="Y26" t="s">
        <v>34</v>
      </c>
    </row>
    <row r="27" spans="1:25">
      <c r="A27" s="1" t="s">
        <v>25</v>
      </c>
      <c r="B27" t="s">
        <v>50</v>
      </c>
      <c r="C27" t="s">
        <v>27</v>
      </c>
      <c r="D27" t="s">
        <v>52</v>
      </c>
      <c r="E27" t="s">
        <v>82</v>
      </c>
      <c r="F27" t="s">
        <v>54</v>
      </c>
      <c r="G27" t="s">
        <v>55</v>
      </c>
      <c r="H27" t="s">
        <v>44</v>
      </c>
      <c r="I27" t="s">
        <v>57</v>
      </c>
      <c r="J27" t="s">
        <v>35</v>
      </c>
      <c r="K27" t="s">
        <v>35</v>
      </c>
      <c r="L27" t="s">
        <v>35</v>
      </c>
      <c r="M27" t="s">
        <v>34</v>
      </c>
      <c r="N27" t="s">
        <v>34</v>
      </c>
      <c r="O27" t="s">
        <v>102</v>
      </c>
      <c r="P27" t="s">
        <v>35</v>
      </c>
      <c r="Q27" t="s">
        <v>35</v>
      </c>
      <c r="R27" t="s">
        <v>37</v>
      </c>
      <c r="S27" t="s">
        <v>35</v>
      </c>
      <c r="T27" t="s">
        <v>35</v>
      </c>
      <c r="U27" t="s">
        <v>35</v>
      </c>
      <c r="V27" t="s">
        <v>35</v>
      </c>
      <c r="W27" t="s">
        <v>35</v>
      </c>
      <c r="X27" t="s">
        <v>89</v>
      </c>
      <c r="Y27" t="s">
        <v>35</v>
      </c>
    </row>
    <row r="28" spans="1:25">
      <c r="A28" s="1" t="s">
        <v>39</v>
      </c>
      <c r="B28" t="s">
        <v>26</v>
      </c>
      <c r="C28" t="s">
        <v>40</v>
      </c>
      <c r="D28" t="s">
        <v>28</v>
      </c>
      <c r="E28" t="s">
        <v>86</v>
      </c>
      <c r="F28" t="s">
        <v>42</v>
      </c>
      <c r="G28" t="s">
        <v>43</v>
      </c>
      <c r="H28" t="s">
        <v>32</v>
      </c>
      <c r="I28" t="s">
        <v>100</v>
      </c>
      <c r="J28" t="s">
        <v>34</v>
      </c>
      <c r="K28" t="s">
        <v>34</v>
      </c>
      <c r="L28" t="s">
        <v>35</v>
      </c>
      <c r="M28" t="s">
        <v>34</v>
      </c>
      <c r="N28" t="s">
        <v>35</v>
      </c>
      <c r="O28" t="s">
        <v>46</v>
      </c>
      <c r="P28" t="s">
        <v>35</v>
      </c>
      <c r="Q28" t="s">
        <v>35</v>
      </c>
      <c r="R28" t="s">
        <v>73</v>
      </c>
      <c r="S28" t="s">
        <v>35</v>
      </c>
      <c r="T28" t="s">
        <v>35</v>
      </c>
      <c r="U28" t="s">
        <v>35</v>
      </c>
      <c r="V28" t="s">
        <v>35</v>
      </c>
      <c r="W28" t="s">
        <v>35</v>
      </c>
      <c r="X28" t="s">
        <v>74</v>
      </c>
      <c r="Y28" t="s">
        <v>35</v>
      </c>
    </row>
    <row r="29" spans="1:25">
      <c r="A29" s="1" t="s">
        <v>49</v>
      </c>
      <c r="B29" t="s">
        <v>26</v>
      </c>
      <c r="C29" t="s">
        <v>51</v>
      </c>
      <c r="D29" t="s">
        <v>52</v>
      </c>
      <c r="E29" t="s">
        <v>29</v>
      </c>
      <c r="F29" t="s">
        <v>77</v>
      </c>
      <c r="G29" t="s">
        <v>55</v>
      </c>
      <c r="H29" t="s">
        <v>44</v>
      </c>
      <c r="I29" t="s">
        <v>78</v>
      </c>
      <c r="J29" t="s">
        <v>35</v>
      </c>
      <c r="K29" t="s">
        <v>35</v>
      </c>
      <c r="L29" t="s">
        <v>35</v>
      </c>
      <c r="M29" t="s">
        <v>35</v>
      </c>
      <c r="N29" t="s">
        <v>34</v>
      </c>
      <c r="O29" t="s">
        <v>79</v>
      </c>
      <c r="P29" t="s">
        <v>35</v>
      </c>
      <c r="Q29" t="s">
        <v>35</v>
      </c>
      <c r="R29" t="s">
        <v>47</v>
      </c>
      <c r="S29" t="s">
        <v>35</v>
      </c>
      <c r="T29" t="s">
        <v>35</v>
      </c>
      <c r="U29" t="s">
        <v>35</v>
      </c>
      <c r="V29" t="s">
        <v>35</v>
      </c>
      <c r="W29" t="s">
        <v>35</v>
      </c>
      <c r="X29" t="s">
        <v>80</v>
      </c>
      <c r="Y29" t="s">
        <v>35</v>
      </c>
    </row>
    <row r="30" spans="1:25">
      <c r="A30" s="1" t="s">
        <v>25</v>
      </c>
      <c r="B30" t="s">
        <v>26</v>
      </c>
      <c r="C30" t="s">
        <v>27</v>
      </c>
      <c r="D30" t="s">
        <v>28</v>
      </c>
      <c r="E30" t="s">
        <v>41</v>
      </c>
      <c r="F30" t="s">
        <v>30</v>
      </c>
      <c r="G30" t="s">
        <v>31</v>
      </c>
      <c r="H30" t="s">
        <v>32</v>
      </c>
      <c r="I30" t="s">
        <v>99</v>
      </c>
      <c r="J30" t="s">
        <v>34</v>
      </c>
      <c r="K30" t="s">
        <v>34</v>
      </c>
      <c r="L30" t="s">
        <v>34</v>
      </c>
      <c r="M30" t="s">
        <v>34</v>
      </c>
      <c r="N30" t="s">
        <v>35</v>
      </c>
      <c r="O30" t="s">
        <v>84</v>
      </c>
      <c r="P30" t="s">
        <v>34</v>
      </c>
      <c r="Q30" t="s">
        <v>34</v>
      </c>
      <c r="R30" t="s">
        <v>63</v>
      </c>
      <c r="S30" t="s">
        <v>34</v>
      </c>
      <c r="T30" t="s">
        <v>34</v>
      </c>
      <c r="U30" t="s">
        <v>34</v>
      </c>
      <c r="V30" t="s">
        <v>35</v>
      </c>
      <c r="W30" t="s">
        <v>34</v>
      </c>
      <c r="X30" t="s">
        <v>64</v>
      </c>
      <c r="Y30" t="s">
        <v>34</v>
      </c>
    </row>
    <row r="31" spans="1:25">
      <c r="A31" s="1" t="s">
        <v>39</v>
      </c>
      <c r="B31" t="s">
        <v>50</v>
      </c>
      <c r="C31" t="s">
        <v>27</v>
      </c>
      <c r="D31" t="s">
        <v>28</v>
      </c>
      <c r="E31" t="s">
        <v>53</v>
      </c>
      <c r="F31" t="s">
        <v>66</v>
      </c>
      <c r="G31" t="s">
        <v>43</v>
      </c>
      <c r="H31" t="s">
        <v>87</v>
      </c>
      <c r="I31" t="s">
        <v>98</v>
      </c>
      <c r="J31" t="s">
        <v>34</v>
      </c>
      <c r="K31" t="s">
        <v>35</v>
      </c>
      <c r="L31" t="s">
        <v>35</v>
      </c>
      <c r="M31" t="s">
        <v>34</v>
      </c>
      <c r="N31" t="s">
        <v>35</v>
      </c>
      <c r="O31" t="s">
        <v>68</v>
      </c>
      <c r="P31" t="s">
        <v>35</v>
      </c>
      <c r="Q31" t="s">
        <v>35</v>
      </c>
      <c r="R31" t="s">
        <v>37</v>
      </c>
      <c r="S31" t="s">
        <v>35</v>
      </c>
      <c r="T31" t="s">
        <v>35</v>
      </c>
      <c r="U31" t="s">
        <v>35</v>
      </c>
      <c r="V31" t="s">
        <v>35</v>
      </c>
      <c r="W31" t="s">
        <v>35</v>
      </c>
      <c r="X31" t="s">
        <v>48</v>
      </c>
      <c r="Y31" t="s">
        <v>35</v>
      </c>
    </row>
    <row r="32" spans="1:25">
      <c r="A32" s="1" t="s">
        <v>25</v>
      </c>
      <c r="B32" t="s">
        <v>26</v>
      </c>
      <c r="C32" t="s">
        <v>40</v>
      </c>
      <c r="D32" t="s">
        <v>28</v>
      </c>
      <c r="E32" t="s">
        <v>61</v>
      </c>
      <c r="F32" t="s">
        <v>42</v>
      </c>
      <c r="G32" t="s">
        <v>43</v>
      </c>
      <c r="H32" t="s">
        <v>32</v>
      </c>
      <c r="I32" t="s">
        <v>103</v>
      </c>
      <c r="J32" t="s">
        <v>34</v>
      </c>
      <c r="K32" t="s">
        <v>34</v>
      </c>
      <c r="L32" t="s">
        <v>35</v>
      </c>
      <c r="M32" t="s">
        <v>34</v>
      </c>
      <c r="N32" t="s">
        <v>35</v>
      </c>
      <c r="O32" t="s">
        <v>72</v>
      </c>
      <c r="P32" t="s">
        <v>35</v>
      </c>
      <c r="Q32" t="s">
        <v>35</v>
      </c>
      <c r="R32" t="s">
        <v>73</v>
      </c>
      <c r="S32" t="s">
        <v>35</v>
      </c>
      <c r="T32" t="s">
        <v>35</v>
      </c>
      <c r="U32" t="s">
        <v>35</v>
      </c>
      <c r="V32" t="s">
        <v>35</v>
      </c>
      <c r="W32" t="s">
        <v>35</v>
      </c>
      <c r="X32" t="s">
        <v>104</v>
      </c>
      <c r="Y32" t="s">
        <v>35</v>
      </c>
    </row>
    <row r="33" spans="1:25">
      <c r="A33" s="1" t="s">
        <v>49</v>
      </c>
      <c r="B33" t="s">
        <v>50</v>
      </c>
      <c r="C33" t="s">
        <v>51</v>
      </c>
      <c r="D33" t="s">
        <v>75</v>
      </c>
      <c r="E33" t="s">
        <v>65</v>
      </c>
      <c r="F33" t="s">
        <v>54</v>
      </c>
      <c r="G33" t="s">
        <v>55</v>
      </c>
      <c r="H33" t="s">
        <v>56</v>
      </c>
      <c r="I33" t="s">
        <v>92</v>
      </c>
      <c r="J33" t="s">
        <v>35</v>
      </c>
      <c r="K33" t="s">
        <v>35</v>
      </c>
      <c r="L33" t="s">
        <v>35</v>
      </c>
      <c r="M33" t="s">
        <v>35</v>
      </c>
      <c r="N33" t="s">
        <v>34</v>
      </c>
      <c r="O33" t="s">
        <v>79</v>
      </c>
      <c r="P33" t="s">
        <v>35</v>
      </c>
      <c r="Q33" t="s">
        <v>35</v>
      </c>
      <c r="R33" t="s">
        <v>59</v>
      </c>
      <c r="S33" t="s">
        <v>35</v>
      </c>
      <c r="T33" t="s">
        <v>35</v>
      </c>
      <c r="U33" t="s">
        <v>35</v>
      </c>
      <c r="V33" t="s">
        <v>35</v>
      </c>
      <c r="W33" t="s">
        <v>35</v>
      </c>
      <c r="X33" t="s">
        <v>60</v>
      </c>
      <c r="Y33" t="s">
        <v>35</v>
      </c>
    </row>
    <row r="34" spans="1:25">
      <c r="A34" s="1" t="s">
        <v>81</v>
      </c>
      <c r="B34" t="s">
        <v>26</v>
      </c>
      <c r="C34" t="s">
        <v>27</v>
      </c>
      <c r="D34" t="s">
        <v>28</v>
      </c>
      <c r="E34" t="s">
        <v>70</v>
      </c>
      <c r="F34" t="s">
        <v>30</v>
      </c>
      <c r="G34" t="s">
        <v>31</v>
      </c>
      <c r="H34" t="s">
        <v>32</v>
      </c>
      <c r="I34" t="s">
        <v>83</v>
      </c>
      <c r="J34" t="s">
        <v>34</v>
      </c>
      <c r="K34" t="s">
        <v>34</v>
      </c>
      <c r="L34" t="s">
        <v>34</v>
      </c>
      <c r="M34" t="s">
        <v>34</v>
      </c>
      <c r="N34" t="s">
        <v>35</v>
      </c>
      <c r="O34" t="s">
        <v>84</v>
      </c>
      <c r="P34" t="s">
        <v>34</v>
      </c>
      <c r="Q34" t="s">
        <v>34</v>
      </c>
      <c r="R34" t="s">
        <v>63</v>
      </c>
      <c r="S34" t="s">
        <v>34</v>
      </c>
      <c r="T34" t="s">
        <v>34</v>
      </c>
      <c r="U34" t="s">
        <v>34</v>
      </c>
      <c r="V34" t="s">
        <v>35</v>
      </c>
      <c r="W34" t="s">
        <v>34</v>
      </c>
      <c r="X34" t="s">
        <v>64</v>
      </c>
      <c r="Y34" t="s">
        <v>34</v>
      </c>
    </row>
    <row r="35" spans="1:25">
      <c r="A35" s="1" t="s">
        <v>25</v>
      </c>
      <c r="B35" t="s">
        <v>50</v>
      </c>
      <c r="C35" t="s">
        <v>27</v>
      </c>
      <c r="D35" t="s">
        <v>52</v>
      </c>
      <c r="E35" t="s">
        <v>76</v>
      </c>
      <c r="F35" t="s">
        <v>77</v>
      </c>
      <c r="G35" t="s">
        <v>43</v>
      </c>
      <c r="H35" t="s">
        <v>44</v>
      </c>
      <c r="I35" t="s">
        <v>97</v>
      </c>
      <c r="J35" t="s">
        <v>35</v>
      </c>
      <c r="K35" t="s">
        <v>35</v>
      </c>
      <c r="L35" t="s">
        <v>35</v>
      </c>
      <c r="M35" t="s">
        <v>35</v>
      </c>
      <c r="N35" t="s">
        <v>34</v>
      </c>
      <c r="O35" t="s">
        <v>102</v>
      </c>
      <c r="P35" t="s">
        <v>35</v>
      </c>
      <c r="Q35" t="s">
        <v>35</v>
      </c>
      <c r="R35" t="s">
        <v>37</v>
      </c>
      <c r="S35" t="s">
        <v>35</v>
      </c>
      <c r="T35" t="s">
        <v>35</v>
      </c>
      <c r="U35" t="s">
        <v>35</v>
      </c>
      <c r="V35" t="s">
        <v>35</v>
      </c>
      <c r="W35" t="s">
        <v>35</v>
      </c>
      <c r="X35" t="s">
        <v>89</v>
      </c>
      <c r="Y35" t="s">
        <v>35</v>
      </c>
    </row>
    <row r="36" spans="1:25">
      <c r="A36" s="1" t="s">
        <v>39</v>
      </c>
      <c r="B36" t="s">
        <v>26</v>
      </c>
      <c r="C36" t="s">
        <v>40</v>
      </c>
      <c r="D36" t="s">
        <v>28</v>
      </c>
      <c r="E36" t="s">
        <v>82</v>
      </c>
      <c r="F36" t="s">
        <v>42</v>
      </c>
      <c r="G36" t="s">
        <v>43</v>
      </c>
      <c r="H36" t="s">
        <v>32</v>
      </c>
      <c r="I36" t="s">
        <v>100</v>
      </c>
      <c r="J36" t="s">
        <v>34</v>
      </c>
      <c r="K36" t="s">
        <v>34</v>
      </c>
      <c r="L36" t="s">
        <v>35</v>
      </c>
      <c r="M36" t="s">
        <v>34</v>
      </c>
      <c r="N36" t="s">
        <v>35</v>
      </c>
      <c r="O36" t="s">
        <v>46</v>
      </c>
      <c r="P36" t="s">
        <v>35</v>
      </c>
      <c r="Q36" t="s">
        <v>35</v>
      </c>
      <c r="R36" t="s">
        <v>47</v>
      </c>
      <c r="S36" t="s">
        <v>35</v>
      </c>
      <c r="T36" t="s">
        <v>35</v>
      </c>
      <c r="U36" t="s">
        <v>35</v>
      </c>
      <c r="V36" t="s">
        <v>35</v>
      </c>
      <c r="W36" t="s">
        <v>35</v>
      </c>
      <c r="X36" t="s">
        <v>74</v>
      </c>
      <c r="Y36" t="s">
        <v>35</v>
      </c>
    </row>
    <row r="37" spans="1:25">
      <c r="A37" s="1" t="s">
        <v>49</v>
      </c>
      <c r="B37" t="s">
        <v>26</v>
      </c>
      <c r="C37" t="s">
        <v>51</v>
      </c>
      <c r="D37" t="s">
        <v>52</v>
      </c>
      <c r="E37" t="s">
        <v>86</v>
      </c>
      <c r="F37" t="s">
        <v>54</v>
      </c>
      <c r="G37" t="s">
        <v>55</v>
      </c>
      <c r="H37" t="s">
        <v>44</v>
      </c>
      <c r="I37" t="s">
        <v>57</v>
      </c>
      <c r="J37" t="s">
        <v>35</v>
      </c>
      <c r="K37" t="s">
        <v>35</v>
      </c>
      <c r="L37" t="s">
        <v>35</v>
      </c>
      <c r="M37" t="s">
        <v>34</v>
      </c>
      <c r="N37" t="s">
        <v>34</v>
      </c>
      <c r="O37" t="s">
        <v>79</v>
      </c>
      <c r="P37" t="s">
        <v>35</v>
      </c>
      <c r="Q37" t="s">
        <v>35</v>
      </c>
      <c r="R37" t="s">
        <v>59</v>
      </c>
      <c r="S37" t="s">
        <v>35</v>
      </c>
      <c r="T37" t="s">
        <v>35</v>
      </c>
      <c r="U37" t="s">
        <v>35</v>
      </c>
      <c r="V37" t="s">
        <v>35</v>
      </c>
      <c r="W37" t="s">
        <v>35</v>
      </c>
      <c r="X37" t="s">
        <v>60</v>
      </c>
      <c r="Y37" t="s">
        <v>35</v>
      </c>
    </row>
    <row r="38" spans="1:25">
      <c r="A38" s="1" t="s">
        <v>25</v>
      </c>
      <c r="B38" t="s">
        <v>26</v>
      </c>
      <c r="C38" t="s">
        <v>27</v>
      </c>
      <c r="D38" t="s">
        <v>28</v>
      </c>
      <c r="E38" t="s">
        <v>29</v>
      </c>
      <c r="F38" t="s">
        <v>30</v>
      </c>
      <c r="G38" t="s">
        <v>31</v>
      </c>
      <c r="H38" t="s">
        <v>32</v>
      </c>
      <c r="I38" t="s">
        <v>99</v>
      </c>
      <c r="J38" t="s">
        <v>34</v>
      </c>
      <c r="K38" t="s">
        <v>34</v>
      </c>
      <c r="L38" t="s">
        <v>34</v>
      </c>
      <c r="M38" t="s">
        <v>34</v>
      </c>
      <c r="N38" t="s">
        <v>35</v>
      </c>
      <c r="O38" t="s">
        <v>84</v>
      </c>
      <c r="P38" t="s">
        <v>34</v>
      </c>
      <c r="Q38" t="s">
        <v>34</v>
      </c>
      <c r="R38" t="s">
        <v>63</v>
      </c>
      <c r="S38" t="s">
        <v>34</v>
      </c>
      <c r="T38" t="s">
        <v>34</v>
      </c>
      <c r="U38" t="s">
        <v>34</v>
      </c>
      <c r="V38" t="s">
        <v>35</v>
      </c>
      <c r="W38" t="s">
        <v>34</v>
      </c>
      <c r="X38" t="s">
        <v>64</v>
      </c>
      <c r="Y38" t="s">
        <v>34</v>
      </c>
    </row>
    <row r="39" spans="1:25">
      <c r="A39" s="1" t="s">
        <v>39</v>
      </c>
      <c r="B39" t="s">
        <v>50</v>
      </c>
      <c r="C39" t="s">
        <v>40</v>
      </c>
      <c r="D39" t="s">
        <v>28</v>
      </c>
      <c r="E39" t="s">
        <v>41</v>
      </c>
      <c r="F39" t="s">
        <v>66</v>
      </c>
      <c r="G39" t="s">
        <v>43</v>
      </c>
      <c r="H39" t="s">
        <v>87</v>
      </c>
      <c r="I39" t="s">
        <v>98</v>
      </c>
      <c r="J39" t="s">
        <v>34</v>
      </c>
      <c r="K39" t="s">
        <v>35</v>
      </c>
      <c r="L39" t="s">
        <v>35</v>
      </c>
      <c r="M39" t="s">
        <v>34</v>
      </c>
      <c r="N39" t="s">
        <v>35</v>
      </c>
      <c r="O39" t="s">
        <v>68</v>
      </c>
      <c r="P39" t="s">
        <v>35</v>
      </c>
      <c r="Q39" t="s">
        <v>35</v>
      </c>
      <c r="R39" t="s">
        <v>37</v>
      </c>
      <c r="S39" t="s">
        <v>35</v>
      </c>
      <c r="T39" t="s">
        <v>35</v>
      </c>
      <c r="U39" t="s">
        <v>35</v>
      </c>
      <c r="V39" t="s">
        <v>35</v>
      </c>
      <c r="W39" t="s">
        <v>35</v>
      </c>
      <c r="X39" t="s">
        <v>48</v>
      </c>
      <c r="Y39" t="s">
        <v>35</v>
      </c>
    </row>
    <row r="40" spans="1:25">
      <c r="A40" s="1" t="s">
        <v>25</v>
      </c>
      <c r="B40" t="s">
        <v>26</v>
      </c>
      <c r="C40" t="s">
        <v>27</v>
      </c>
      <c r="D40" t="s">
        <v>28</v>
      </c>
      <c r="E40" t="s">
        <v>53</v>
      </c>
      <c r="F40" t="s">
        <v>42</v>
      </c>
      <c r="G40" t="s">
        <v>43</v>
      </c>
      <c r="H40" t="s">
        <v>32</v>
      </c>
      <c r="I40" t="s">
        <v>103</v>
      </c>
      <c r="J40" t="s">
        <v>34</v>
      </c>
      <c r="K40" t="s">
        <v>34</v>
      </c>
      <c r="L40" t="s">
        <v>35</v>
      </c>
      <c r="M40" t="s">
        <v>34</v>
      </c>
      <c r="N40" t="s">
        <v>35</v>
      </c>
      <c r="O40" t="s">
        <v>72</v>
      </c>
      <c r="P40" t="s">
        <v>35</v>
      </c>
      <c r="Q40" t="s">
        <v>35</v>
      </c>
      <c r="R40" t="s">
        <v>73</v>
      </c>
      <c r="S40" t="s">
        <v>35</v>
      </c>
      <c r="T40" t="s">
        <v>35</v>
      </c>
      <c r="U40" t="s">
        <v>35</v>
      </c>
      <c r="V40" t="s">
        <v>35</v>
      </c>
      <c r="W40" t="s">
        <v>35</v>
      </c>
      <c r="X40" t="s">
        <v>104</v>
      </c>
      <c r="Y40" t="s">
        <v>35</v>
      </c>
    </row>
    <row r="41" spans="1:25">
      <c r="A41" s="1" t="s">
        <v>49</v>
      </c>
      <c r="B41" t="s">
        <v>50</v>
      </c>
      <c r="C41" t="s">
        <v>51</v>
      </c>
      <c r="D41" t="s">
        <v>75</v>
      </c>
      <c r="E41" t="s">
        <v>61</v>
      </c>
      <c r="F41" t="s">
        <v>77</v>
      </c>
      <c r="G41" t="s">
        <v>55</v>
      </c>
      <c r="H41" t="s">
        <v>56</v>
      </c>
      <c r="I41" t="s">
        <v>92</v>
      </c>
      <c r="J41" t="s">
        <v>35</v>
      </c>
      <c r="K41" t="s">
        <v>35</v>
      </c>
      <c r="L41" t="s">
        <v>35</v>
      </c>
      <c r="M41" t="s">
        <v>35</v>
      </c>
      <c r="N41" t="s">
        <v>34</v>
      </c>
      <c r="O41" t="s">
        <v>79</v>
      </c>
      <c r="P41" t="s">
        <v>35</v>
      </c>
      <c r="Q41" t="s">
        <v>35</v>
      </c>
      <c r="R41" t="s">
        <v>59</v>
      </c>
      <c r="S41" t="s">
        <v>35</v>
      </c>
      <c r="T41" t="s">
        <v>35</v>
      </c>
      <c r="U41" t="s">
        <v>35</v>
      </c>
      <c r="V41" t="s">
        <v>35</v>
      </c>
      <c r="W41" t="s">
        <v>35</v>
      </c>
      <c r="X41" t="s">
        <v>60</v>
      </c>
      <c r="Y41" t="s">
        <v>35</v>
      </c>
    </row>
    <row r="42" spans="1:25">
      <c r="A42" s="1" t="s">
        <v>39</v>
      </c>
      <c r="B42" t="s">
        <v>26</v>
      </c>
      <c r="C42" t="s">
        <v>27</v>
      </c>
      <c r="D42" t="s">
        <v>28</v>
      </c>
      <c r="E42" t="s">
        <v>29</v>
      </c>
      <c r="F42" t="s">
        <v>30</v>
      </c>
      <c r="G42" t="s">
        <v>31</v>
      </c>
      <c r="H42" t="s">
        <v>32</v>
      </c>
      <c r="I42" t="s">
        <v>62</v>
      </c>
      <c r="J42" t="s">
        <v>34</v>
      </c>
      <c r="K42" t="s">
        <v>34</v>
      </c>
      <c r="L42" t="s">
        <v>34</v>
      </c>
      <c r="M42" t="s">
        <v>34</v>
      </c>
      <c r="N42" t="s">
        <v>35</v>
      </c>
      <c r="O42" t="s">
        <v>105</v>
      </c>
      <c r="P42" t="s">
        <v>34</v>
      </c>
      <c r="Q42" t="s">
        <v>34</v>
      </c>
      <c r="R42" t="s">
        <v>63</v>
      </c>
      <c r="S42" t="s">
        <v>34</v>
      </c>
      <c r="T42" t="s">
        <v>34</v>
      </c>
      <c r="U42" t="s">
        <v>34</v>
      </c>
      <c r="V42" t="s">
        <v>35</v>
      </c>
      <c r="W42" t="s">
        <v>34</v>
      </c>
      <c r="X42" t="s">
        <v>64</v>
      </c>
      <c r="Y42" t="s">
        <v>34</v>
      </c>
    </row>
    <row r="43" spans="1:25">
      <c r="A43" s="1" t="s">
        <v>25</v>
      </c>
      <c r="B43" t="s">
        <v>50</v>
      </c>
      <c r="C43" t="s">
        <v>51</v>
      </c>
      <c r="D43" t="s">
        <v>52</v>
      </c>
      <c r="E43" t="s">
        <v>41</v>
      </c>
      <c r="F43" t="s">
        <v>54</v>
      </c>
      <c r="G43" t="s">
        <v>55</v>
      </c>
      <c r="H43" t="s">
        <v>44</v>
      </c>
      <c r="I43" t="s">
        <v>57</v>
      </c>
      <c r="J43" t="s">
        <v>35</v>
      </c>
      <c r="K43" t="s">
        <v>35</v>
      </c>
      <c r="L43" t="s">
        <v>35</v>
      </c>
      <c r="M43" t="s">
        <v>34</v>
      </c>
      <c r="N43" t="s">
        <v>34</v>
      </c>
      <c r="O43" t="s">
        <v>79</v>
      </c>
      <c r="P43" t="s">
        <v>35</v>
      </c>
      <c r="Q43" t="s">
        <v>35</v>
      </c>
      <c r="R43" t="s">
        <v>37</v>
      </c>
      <c r="S43" t="s">
        <v>35</v>
      </c>
      <c r="T43" t="s">
        <v>35</v>
      </c>
      <c r="U43" t="s">
        <v>35</v>
      </c>
      <c r="V43" t="s">
        <v>35</v>
      </c>
      <c r="W43" t="s">
        <v>35</v>
      </c>
      <c r="X43" t="s">
        <v>60</v>
      </c>
      <c r="Y43" t="s">
        <v>35</v>
      </c>
    </row>
    <row r="44" spans="1:25">
      <c r="A44" s="1" t="s">
        <v>49</v>
      </c>
      <c r="B44" t="s">
        <v>26</v>
      </c>
      <c r="C44" t="s">
        <v>27</v>
      </c>
      <c r="D44" t="s">
        <v>75</v>
      </c>
      <c r="E44" t="s">
        <v>53</v>
      </c>
      <c r="F44" t="s">
        <v>77</v>
      </c>
      <c r="G44" t="s">
        <v>55</v>
      </c>
      <c r="H44" t="s">
        <v>87</v>
      </c>
      <c r="I44" t="s">
        <v>78</v>
      </c>
      <c r="J44" t="s">
        <v>35</v>
      </c>
      <c r="K44" t="s">
        <v>35</v>
      </c>
      <c r="L44" t="s">
        <v>35</v>
      </c>
      <c r="M44" t="s">
        <v>35</v>
      </c>
      <c r="N44" t="s">
        <v>34</v>
      </c>
      <c r="O44" t="s">
        <v>106</v>
      </c>
      <c r="P44" t="s">
        <v>35</v>
      </c>
      <c r="Q44" t="s">
        <v>35</v>
      </c>
      <c r="R44" t="s">
        <v>59</v>
      </c>
      <c r="S44" t="s">
        <v>35</v>
      </c>
      <c r="T44" t="s">
        <v>35</v>
      </c>
      <c r="U44" t="s">
        <v>35</v>
      </c>
      <c r="V44" t="s">
        <v>35</v>
      </c>
      <c r="W44" t="s">
        <v>35</v>
      </c>
      <c r="X44" t="s">
        <v>80</v>
      </c>
      <c r="Y44" t="s">
        <v>35</v>
      </c>
    </row>
    <row r="45" spans="1:25">
      <c r="A45" s="1" t="s">
        <v>81</v>
      </c>
      <c r="B45" t="s">
        <v>26</v>
      </c>
      <c r="C45" t="s">
        <v>40</v>
      </c>
      <c r="D45" t="s">
        <v>28</v>
      </c>
      <c r="E45" t="s">
        <v>61</v>
      </c>
      <c r="F45" t="s">
        <v>42</v>
      </c>
      <c r="G45" t="s">
        <v>43</v>
      </c>
      <c r="H45" t="s">
        <v>32</v>
      </c>
      <c r="I45" t="s">
        <v>98</v>
      </c>
      <c r="J45" t="s">
        <v>34</v>
      </c>
      <c r="K45" t="s">
        <v>34</v>
      </c>
      <c r="L45" t="s">
        <v>35</v>
      </c>
      <c r="M45" t="s">
        <v>34</v>
      </c>
      <c r="N45" t="s">
        <v>35</v>
      </c>
      <c r="O45" t="s">
        <v>105</v>
      </c>
      <c r="P45" t="s">
        <v>35</v>
      </c>
      <c r="Q45" t="s">
        <v>34</v>
      </c>
      <c r="R45" t="s">
        <v>63</v>
      </c>
      <c r="S45" t="s">
        <v>34</v>
      </c>
      <c r="T45" t="s">
        <v>34</v>
      </c>
      <c r="U45" t="s">
        <v>34</v>
      </c>
      <c r="V45" t="s">
        <v>35</v>
      </c>
      <c r="W45" t="s">
        <v>34</v>
      </c>
      <c r="X45" t="s">
        <v>74</v>
      </c>
      <c r="Y45" t="s">
        <v>34</v>
      </c>
    </row>
    <row r="46" spans="1:25">
      <c r="A46" s="1" t="s">
        <v>25</v>
      </c>
      <c r="B46" t="s">
        <v>26</v>
      </c>
      <c r="C46" t="s">
        <v>27</v>
      </c>
      <c r="D46" t="s">
        <v>28</v>
      </c>
      <c r="E46" t="s">
        <v>65</v>
      </c>
      <c r="F46" t="s">
        <v>30</v>
      </c>
      <c r="G46" t="s">
        <v>31</v>
      </c>
      <c r="H46" t="s">
        <v>44</v>
      </c>
      <c r="I46" t="s">
        <v>33</v>
      </c>
      <c r="J46" t="s">
        <v>34</v>
      </c>
      <c r="K46" t="s">
        <v>34</v>
      </c>
      <c r="L46" t="s">
        <v>34</v>
      </c>
      <c r="M46" t="s">
        <v>34</v>
      </c>
      <c r="N46" t="s">
        <v>35</v>
      </c>
      <c r="O46" t="s">
        <v>84</v>
      </c>
      <c r="P46" t="s">
        <v>34</v>
      </c>
      <c r="Q46" t="s">
        <v>34</v>
      </c>
      <c r="R46" t="s">
        <v>63</v>
      </c>
      <c r="S46" t="s">
        <v>34</v>
      </c>
      <c r="T46" t="s">
        <v>34</v>
      </c>
      <c r="U46" t="s">
        <v>34</v>
      </c>
      <c r="V46" t="s">
        <v>35</v>
      </c>
      <c r="W46" t="s">
        <v>34</v>
      </c>
      <c r="X46" t="s">
        <v>96</v>
      </c>
      <c r="Y46" t="s">
        <v>34</v>
      </c>
    </row>
    <row r="47" spans="1:25">
      <c r="A47" s="1" t="s">
        <v>39</v>
      </c>
      <c r="B47" t="s">
        <v>50</v>
      </c>
      <c r="C47" t="s">
        <v>51</v>
      </c>
      <c r="D47" t="s">
        <v>28</v>
      </c>
      <c r="E47" t="s">
        <v>70</v>
      </c>
      <c r="F47" t="s">
        <v>66</v>
      </c>
      <c r="G47" t="s">
        <v>43</v>
      </c>
      <c r="H47" t="s">
        <v>56</v>
      </c>
      <c r="I47" t="s">
        <v>90</v>
      </c>
      <c r="J47" t="s">
        <v>34</v>
      </c>
      <c r="K47" t="s">
        <v>35</v>
      </c>
      <c r="L47" t="s">
        <v>35</v>
      </c>
      <c r="M47" t="s">
        <v>34</v>
      </c>
      <c r="N47" t="s">
        <v>35</v>
      </c>
      <c r="O47" t="s">
        <v>68</v>
      </c>
      <c r="P47" t="s">
        <v>35</v>
      </c>
      <c r="Q47" t="s">
        <v>35</v>
      </c>
      <c r="R47" t="s">
        <v>37</v>
      </c>
      <c r="S47" t="s">
        <v>35</v>
      </c>
      <c r="T47" t="s">
        <v>35</v>
      </c>
      <c r="U47" t="s">
        <v>35</v>
      </c>
      <c r="V47" t="s">
        <v>35</v>
      </c>
      <c r="W47" t="s">
        <v>35</v>
      </c>
      <c r="X47" t="s">
        <v>107</v>
      </c>
      <c r="Y47" t="s">
        <v>35</v>
      </c>
    </row>
    <row r="48" spans="1:25">
      <c r="A48" s="1" t="s">
        <v>49</v>
      </c>
      <c r="B48" t="s">
        <v>50</v>
      </c>
      <c r="C48" t="s">
        <v>51</v>
      </c>
      <c r="D48" t="s">
        <v>52</v>
      </c>
      <c r="E48" t="s">
        <v>76</v>
      </c>
      <c r="F48" t="s">
        <v>77</v>
      </c>
      <c r="G48" t="s">
        <v>55</v>
      </c>
      <c r="H48" t="s">
        <v>44</v>
      </c>
      <c r="I48" t="s">
        <v>92</v>
      </c>
      <c r="J48" t="s">
        <v>35</v>
      </c>
      <c r="K48" t="s">
        <v>35</v>
      </c>
      <c r="L48" t="s">
        <v>35</v>
      </c>
      <c r="M48" t="s">
        <v>35</v>
      </c>
      <c r="N48" t="s">
        <v>34</v>
      </c>
      <c r="O48" t="s">
        <v>93</v>
      </c>
      <c r="P48" t="s">
        <v>35</v>
      </c>
      <c r="Q48" t="s">
        <v>35</v>
      </c>
      <c r="R48" t="s">
        <v>59</v>
      </c>
      <c r="S48" t="s">
        <v>35</v>
      </c>
      <c r="T48" t="s">
        <v>35</v>
      </c>
      <c r="U48" t="s">
        <v>35</v>
      </c>
      <c r="V48" t="s">
        <v>35</v>
      </c>
      <c r="W48" t="s">
        <v>35</v>
      </c>
      <c r="X48" t="s">
        <v>80</v>
      </c>
      <c r="Y48" t="s">
        <v>35</v>
      </c>
    </row>
    <row r="49" spans="1:25">
      <c r="A49" s="1" t="s">
        <v>25</v>
      </c>
      <c r="B49" t="s">
        <v>26</v>
      </c>
      <c r="C49" t="s">
        <v>40</v>
      </c>
      <c r="D49" t="s">
        <v>28</v>
      </c>
      <c r="E49" t="s">
        <v>82</v>
      </c>
      <c r="F49" t="s">
        <v>42</v>
      </c>
      <c r="G49" t="s">
        <v>43</v>
      </c>
      <c r="H49" t="s">
        <v>32</v>
      </c>
      <c r="I49" t="s">
        <v>71</v>
      </c>
      <c r="J49" t="s">
        <v>34</v>
      </c>
      <c r="K49" t="s">
        <v>34</v>
      </c>
      <c r="L49" t="s">
        <v>35</v>
      </c>
      <c r="M49" t="s">
        <v>34</v>
      </c>
      <c r="N49" t="s">
        <v>35</v>
      </c>
      <c r="O49" t="s">
        <v>72</v>
      </c>
      <c r="P49" t="s">
        <v>35</v>
      </c>
      <c r="Q49" t="s">
        <v>35</v>
      </c>
      <c r="R49" t="s">
        <v>73</v>
      </c>
      <c r="S49" t="s">
        <v>35</v>
      </c>
      <c r="T49" t="s">
        <v>35</v>
      </c>
      <c r="U49" t="s">
        <v>35</v>
      </c>
      <c r="V49" t="s">
        <v>35</v>
      </c>
      <c r="W49" t="s">
        <v>35</v>
      </c>
      <c r="X49" t="s">
        <v>74</v>
      </c>
      <c r="Y49" t="s">
        <v>35</v>
      </c>
    </row>
    <row r="50" spans="1:25">
      <c r="A50" s="1" t="s">
        <v>39</v>
      </c>
      <c r="B50" t="s">
        <v>26</v>
      </c>
      <c r="C50" t="s">
        <v>27</v>
      </c>
      <c r="D50" t="s">
        <v>28</v>
      </c>
      <c r="E50" t="s">
        <v>86</v>
      </c>
      <c r="F50" t="s">
        <v>30</v>
      </c>
      <c r="G50" t="s">
        <v>31</v>
      </c>
      <c r="H50" t="s">
        <v>32</v>
      </c>
      <c r="I50" t="s">
        <v>99</v>
      </c>
      <c r="J50" t="s">
        <v>34</v>
      </c>
      <c r="K50" t="s">
        <v>34</v>
      </c>
      <c r="L50" t="s">
        <v>34</v>
      </c>
      <c r="M50" t="s">
        <v>34</v>
      </c>
      <c r="N50" t="s">
        <v>35</v>
      </c>
      <c r="O50" t="s">
        <v>84</v>
      </c>
      <c r="P50" t="s">
        <v>34</v>
      </c>
      <c r="Q50" t="s">
        <v>34</v>
      </c>
      <c r="R50" t="s">
        <v>63</v>
      </c>
      <c r="S50" t="s">
        <v>34</v>
      </c>
      <c r="T50" t="s">
        <v>34</v>
      </c>
      <c r="U50" t="s">
        <v>34</v>
      </c>
      <c r="V50" t="s">
        <v>35</v>
      </c>
      <c r="W50" t="s">
        <v>34</v>
      </c>
      <c r="X50" t="s">
        <v>64</v>
      </c>
      <c r="Y50" t="s">
        <v>34</v>
      </c>
    </row>
    <row r="51" spans="1:25">
      <c r="A51" s="1" t="s">
        <v>49</v>
      </c>
      <c r="B51" t="s">
        <v>50</v>
      </c>
      <c r="C51" t="s">
        <v>51</v>
      </c>
      <c r="D51" t="s">
        <v>75</v>
      </c>
      <c r="E51" t="s">
        <v>29</v>
      </c>
      <c r="F51" t="s">
        <v>54</v>
      </c>
      <c r="G51" t="s">
        <v>55</v>
      </c>
      <c r="H51" t="s">
        <v>56</v>
      </c>
      <c r="I51" t="s">
        <v>97</v>
      </c>
      <c r="J51" t="s">
        <v>35</v>
      </c>
      <c r="K51" t="s">
        <v>35</v>
      </c>
      <c r="L51" t="s">
        <v>35</v>
      </c>
      <c r="M51" t="s">
        <v>35</v>
      </c>
      <c r="N51" t="s">
        <v>34</v>
      </c>
      <c r="O51" t="s">
        <v>79</v>
      </c>
      <c r="P51" t="s">
        <v>35</v>
      </c>
      <c r="Q51" t="s">
        <v>35</v>
      </c>
      <c r="R51" t="s">
        <v>37</v>
      </c>
      <c r="S51" t="s">
        <v>35</v>
      </c>
      <c r="T51" t="s">
        <v>35</v>
      </c>
      <c r="U51" t="s">
        <v>35</v>
      </c>
      <c r="V51" t="s">
        <v>35</v>
      </c>
      <c r="W51" t="s">
        <v>35</v>
      </c>
      <c r="X51" t="s">
        <v>60</v>
      </c>
      <c r="Y51" t="s">
        <v>35</v>
      </c>
    </row>
    <row r="52" spans="1:25">
      <c r="A52" s="1" t="s">
        <v>25</v>
      </c>
      <c r="B52" t="s">
        <v>26</v>
      </c>
      <c r="C52" t="s">
        <v>27</v>
      </c>
      <c r="D52" t="s">
        <v>28</v>
      </c>
      <c r="E52" t="s">
        <v>41</v>
      </c>
      <c r="F52" t="s">
        <v>30</v>
      </c>
      <c r="G52" t="s">
        <v>31</v>
      </c>
      <c r="H52" t="s">
        <v>44</v>
      </c>
      <c r="I52" t="s">
        <v>95</v>
      </c>
      <c r="J52" t="s">
        <v>34</v>
      </c>
      <c r="K52" t="s">
        <v>34</v>
      </c>
      <c r="L52" t="s">
        <v>34</v>
      </c>
      <c r="M52" t="s">
        <v>34</v>
      </c>
      <c r="N52" t="s">
        <v>35</v>
      </c>
      <c r="O52" t="s">
        <v>84</v>
      </c>
      <c r="P52" t="s">
        <v>34</v>
      </c>
      <c r="Q52" t="s">
        <v>34</v>
      </c>
      <c r="R52" t="s">
        <v>63</v>
      </c>
      <c r="S52" t="s">
        <v>34</v>
      </c>
      <c r="T52" t="s">
        <v>34</v>
      </c>
      <c r="U52" t="s">
        <v>34</v>
      </c>
      <c r="V52" t="s">
        <v>35</v>
      </c>
      <c r="W52" t="s">
        <v>34</v>
      </c>
      <c r="X52" t="s">
        <v>64</v>
      </c>
      <c r="Y52" t="s">
        <v>34</v>
      </c>
    </row>
    <row r="53" spans="1:25">
      <c r="A53" s="1" t="s">
        <v>39</v>
      </c>
      <c r="B53" t="s">
        <v>50</v>
      </c>
      <c r="C53" t="s">
        <v>40</v>
      </c>
      <c r="D53" t="s">
        <v>28</v>
      </c>
      <c r="E53" t="s">
        <v>53</v>
      </c>
      <c r="F53" t="s">
        <v>66</v>
      </c>
      <c r="G53" t="s">
        <v>43</v>
      </c>
      <c r="H53" t="s">
        <v>87</v>
      </c>
      <c r="I53" t="s">
        <v>98</v>
      </c>
      <c r="J53" t="s">
        <v>34</v>
      </c>
      <c r="K53" t="s">
        <v>35</v>
      </c>
      <c r="L53" t="s">
        <v>35</v>
      </c>
      <c r="M53" t="s">
        <v>34</v>
      </c>
      <c r="N53" t="s">
        <v>35</v>
      </c>
      <c r="O53" t="s">
        <v>68</v>
      </c>
      <c r="P53" t="s">
        <v>35</v>
      </c>
      <c r="Q53" t="s">
        <v>35</v>
      </c>
      <c r="R53" t="s">
        <v>47</v>
      </c>
      <c r="S53" t="s">
        <v>35</v>
      </c>
      <c r="T53" t="s">
        <v>35</v>
      </c>
      <c r="U53" t="s">
        <v>35</v>
      </c>
      <c r="V53" t="s">
        <v>35</v>
      </c>
      <c r="W53" t="s">
        <v>35</v>
      </c>
      <c r="X53" t="s">
        <v>74</v>
      </c>
      <c r="Y53" t="s">
        <v>35</v>
      </c>
    </row>
    <row r="54" spans="1:25">
      <c r="A54" s="1" t="s">
        <v>49</v>
      </c>
      <c r="B54" t="s">
        <v>26</v>
      </c>
      <c r="C54" t="s">
        <v>51</v>
      </c>
      <c r="D54" t="s">
        <v>52</v>
      </c>
      <c r="E54" t="s">
        <v>61</v>
      </c>
      <c r="F54" t="s">
        <v>77</v>
      </c>
      <c r="G54" t="s">
        <v>55</v>
      </c>
      <c r="H54" t="s">
        <v>44</v>
      </c>
      <c r="I54" t="s">
        <v>57</v>
      </c>
      <c r="J54" t="s">
        <v>35</v>
      </c>
      <c r="K54" t="s">
        <v>35</v>
      </c>
      <c r="L54" t="s">
        <v>35</v>
      </c>
      <c r="M54" t="s">
        <v>35</v>
      </c>
      <c r="N54" t="s">
        <v>34</v>
      </c>
      <c r="O54" t="s">
        <v>36</v>
      </c>
      <c r="P54" t="s">
        <v>35</v>
      </c>
      <c r="Q54" t="s">
        <v>35</v>
      </c>
      <c r="R54" t="s">
        <v>59</v>
      </c>
      <c r="S54" t="s">
        <v>35</v>
      </c>
      <c r="T54" t="s">
        <v>35</v>
      </c>
      <c r="U54" t="s">
        <v>35</v>
      </c>
      <c r="V54" t="s">
        <v>35</v>
      </c>
      <c r="W54" t="s">
        <v>35</v>
      </c>
      <c r="X54" t="s">
        <v>80</v>
      </c>
      <c r="Y54" t="s">
        <v>35</v>
      </c>
    </row>
    <row r="55" spans="1:25">
      <c r="A55" s="1" t="s">
        <v>81</v>
      </c>
      <c r="B55" t="s">
        <v>26</v>
      </c>
      <c r="C55" t="s">
        <v>27</v>
      </c>
      <c r="D55" t="s">
        <v>28</v>
      </c>
      <c r="E55" t="s">
        <v>65</v>
      </c>
      <c r="F55" t="s">
        <v>30</v>
      </c>
      <c r="G55" t="s">
        <v>31</v>
      </c>
      <c r="H55" t="s">
        <v>32</v>
      </c>
      <c r="I55" t="s">
        <v>83</v>
      </c>
      <c r="J55" t="s">
        <v>34</v>
      </c>
      <c r="K55" t="s">
        <v>34</v>
      </c>
      <c r="L55" t="s">
        <v>34</v>
      </c>
      <c r="M55" t="s">
        <v>34</v>
      </c>
      <c r="N55" t="s">
        <v>35</v>
      </c>
      <c r="O55" t="s">
        <v>84</v>
      </c>
      <c r="P55" t="s">
        <v>34</v>
      </c>
      <c r="Q55" t="s">
        <v>34</v>
      </c>
      <c r="R55" t="s">
        <v>63</v>
      </c>
      <c r="S55" t="s">
        <v>34</v>
      </c>
      <c r="T55" t="s">
        <v>34</v>
      </c>
      <c r="U55" t="s">
        <v>34</v>
      </c>
      <c r="V55" t="s">
        <v>35</v>
      </c>
      <c r="W55" t="s">
        <v>34</v>
      </c>
      <c r="X55" t="s">
        <v>64</v>
      </c>
      <c r="Y55" t="s">
        <v>34</v>
      </c>
    </row>
    <row r="56" spans="1:25">
      <c r="A56" s="1" t="s">
        <v>25</v>
      </c>
      <c r="B56" t="s">
        <v>50</v>
      </c>
      <c r="C56" t="s">
        <v>27</v>
      </c>
      <c r="D56" t="s">
        <v>52</v>
      </c>
      <c r="E56" t="s">
        <v>70</v>
      </c>
      <c r="F56" t="s">
        <v>54</v>
      </c>
      <c r="G56" t="s">
        <v>55</v>
      </c>
      <c r="H56" t="s">
        <v>44</v>
      </c>
      <c r="I56" t="s">
        <v>57</v>
      </c>
      <c r="J56" t="s">
        <v>35</v>
      </c>
      <c r="K56" t="s">
        <v>35</v>
      </c>
      <c r="L56" t="s">
        <v>35</v>
      </c>
      <c r="M56" t="s">
        <v>34</v>
      </c>
      <c r="N56" t="s">
        <v>34</v>
      </c>
      <c r="O56" t="s">
        <v>58</v>
      </c>
      <c r="P56" t="s">
        <v>35</v>
      </c>
      <c r="Q56" t="s">
        <v>35</v>
      </c>
      <c r="R56" t="s">
        <v>37</v>
      </c>
      <c r="S56" t="s">
        <v>35</v>
      </c>
      <c r="T56" t="s">
        <v>35</v>
      </c>
      <c r="U56" t="s">
        <v>35</v>
      </c>
      <c r="V56" t="s">
        <v>35</v>
      </c>
      <c r="W56" t="s">
        <v>35</v>
      </c>
      <c r="X56" t="s">
        <v>89</v>
      </c>
      <c r="Y56" t="s">
        <v>35</v>
      </c>
    </row>
    <row r="57" spans="1:25">
      <c r="A57" s="1" t="s">
        <v>39</v>
      </c>
      <c r="B57" t="s">
        <v>26</v>
      </c>
      <c r="C57" t="s">
        <v>40</v>
      </c>
      <c r="D57" t="s">
        <v>28</v>
      </c>
      <c r="E57" t="s">
        <v>76</v>
      </c>
      <c r="F57" t="s">
        <v>42</v>
      </c>
      <c r="G57" t="s">
        <v>43</v>
      </c>
      <c r="H57" t="s">
        <v>32</v>
      </c>
      <c r="I57" t="s">
        <v>100</v>
      </c>
      <c r="J57" t="s">
        <v>34</v>
      </c>
      <c r="K57" t="s">
        <v>34</v>
      </c>
      <c r="L57" t="s">
        <v>35</v>
      </c>
      <c r="M57" t="s">
        <v>34</v>
      </c>
      <c r="N57" t="s">
        <v>35</v>
      </c>
      <c r="O57" t="s">
        <v>46</v>
      </c>
      <c r="P57" t="s">
        <v>35</v>
      </c>
      <c r="Q57" t="s">
        <v>35</v>
      </c>
      <c r="R57" t="s">
        <v>73</v>
      </c>
      <c r="S57" t="s">
        <v>35</v>
      </c>
      <c r="T57" t="s">
        <v>35</v>
      </c>
      <c r="U57" t="s">
        <v>35</v>
      </c>
      <c r="V57" t="s">
        <v>35</v>
      </c>
      <c r="W57" t="s">
        <v>35</v>
      </c>
      <c r="X57" t="s">
        <v>74</v>
      </c>
      <c r="Y57" t="s">
        <v>35</v>
      </c>
    </row>
    <row r="58" spans="1:25">
      <c r="A58" s="1" t="s">
        <v>49</v>
      </c>
      <c r="B58" t="s">
        <v>50</v>
      </c>
      <c r="C58" t="s">
        <v>51</v>
      </c>
      <c r="D58" t="s">
        <v>75</v>
      </c>
      <c r="E58" t="s">
        <v>82</v>
      </c>
      <c r="F58" t="s">
        <v>77</v>
      </c>
      <c r="G58" t="s">
        <v>55</v>
      </c>
      <c r="H58" t="s">
        <v>56</v>
      </c>
      <c r="I58" t="s">
        <v>92</v>
      </c>
      <c r="J58" t="s">
        <v>35</v>
      </c>
      <c r="K58" t="s">
        <v>35</v>
      </c>
      <c r="L58" t="s">
        <v>35</v>
      </c>
      <c r="M58" t="s">
        <v>35</v>
      </c>
      <c r="N58" t="s">
        <v>34</v>
      </c>
      <c r="O58" t="s">
        <v>93</v>
      </c>
      <c r="P58" t="s">
        <v>35</v>
      </c>
      <c r="Q58" t="s">
        <v>35</v>
      </c>
      <c r="R58" t="s">
        <v>59</v>
      </c>
      <c r="S58" t="s">
        <v>35</v>
      </c>
      <c r="T58" t="s">
        <v>35</v>
      </c>
      <c r="U58" t="s">
        <v>35</v>
      </c>
      <c r="V58" t="s">
        <v>35</v>
      </c>
      <c r="W58" t="s">
        <v>35</v>
      </c>
      <c r="X58" t="s">
        <v>80</v>
      </c>
      <c r="Y58" t="s">
        <v>35</v>
      </c>
    </row>
    <row r="59" spans="1:25">
      <c r="A59" s="1" t="s">
        <v>25</v>
      </c>
      <c r="B59" t="s">
        <v>26</v>
      </c>
      <c r="C59" t="s">
        <v>27</v>
      </c>
      <c r="D59" t="s">
        <v>28</v>
      </c>
      <c r="E59" t="s">
        <v>86</v>
      </c>
      <c r="F59" t="s">
        <v>30</v>
      </c>
      <c r="G59" t="s">
        <v>31</v>
      </c>
      <c r="H59" t="s">
        <v>32</v>
      </c>
      <c r="I59" t="s">
        <v>99</v>
      </c>
      <c r="J59" t="s">
        <v>34</v>
      </c>
      <c r="K59" t="s">
        <v>34</v>
      </c>
      <c r="L59" t="s">
        <v>34</v>
      </c>
      <c r="M59" t="s">
        <v>34</v>
      </c>
      <c r="N59" t="s">
        <v>35</v>
      </c>
      <c r="O59" t="s">
        <v>84</v>
      </c>
      <c r="P59" t="s">
        <v>34</v>
      </c>
      <c r="Q59" t="s">
        <v>34</v>
      </c>
      <c r="R59" t="s">
        <v>63</v>
      </c>
      <c r="S59" t="s">
        <v>34</v>
      </c>
      <c r="T59" t="s">
        <v>34</v>
      </c>
      <c r="U59" t="s">
        <v>34</v>
      </c>
      <c r="V59" t="s">
        <v>35</v>
      </c>
      <c r="W59" t="s">
        <v>34</v>
      </c>
      <c r="X59" t="s">
        <v>64</v>
      </c>
      <c r="Y59" t="s">
        <v>34</v>
      </c>
    </row>
    <row r="60" spans="1:25">
      <c r="A60" s="1" t="s">
        <v>39</v>
      </c>
      <c r="B60" t="s">
        <v>50</v>
      </c>
      <c r="C60" t="s">
        <v>27</v>
      </c>
      <c r="D60" t="s">
        <v>28</v>
      </c>
      <c r="E60" t="s">
        <v>29</v>
      </c>
      <c r="F60" t="s">
        <v>66</v>
      </c>
      <c r="G60" t="s">
        <v>43</v>
      </c>
      <c r="H60" t="s">
        <v>44</v>
      </c>
      <c r="I60" t="s">
        <v>98</v>
      </c>
      <c r="J60" t="s">
        <v>34</v>
      </c>
      <c r="K60" t="s">
        <v>35</v>
      </c>
      <c r="L60" t="s">
        <v>35</v>
      </c>
      <c r="M60" t="s">
        <v>34</v>
      </c>
      <c r="N60" t="s">
        <v>35</v>
      </c>
      <c r="O60" t="s">
        <v>68</v>
      </c>
      <c r="P60" t="s">
        <v>35</v>
      </c>
      <c r="Q60" t="s">
        <v>35</v>
      </c>
      <c r="R60" t="s">
        <v>37</v>
      </c>
      <c r="S60" t="s">
        <v>35</v>
      </c>
      <c r="T60" t="s">
        <v>35</v>
      </c>
      <c r="U60" t="s">
        <v>35</v>
      </c>
      <c r="V60" t="s">
        <v>35</v>
      </c>
      <c r="W60" t="s">
        <v>35</v>
      </c>
      <c r="X60" t="s">
        <v>48</v>
      </c>
      <c r="Y60" t="s">
        <v>35</v>
      </c>
    </row>
    <row r="61" spans="1:25">
      <c r="A61" s="1" t="s">
        <v>49</v>
      </c>
      <c r="B61" t="s">
        <v>26</v>
      </c>
      <c r="C61" t="s">
        <v>51</v>
      </c>
      <c r="D61" t="s">
        <v>52</v>
      </c>
      <c r="E61" t="s">
        <v>41</v>
      </c>
      <c r="F61" t="s">
        <v>54</v>
      </c>
      <c r="G61" t="s">
        <v>55</v>
      </c>
      <c r="H61" t="s">
        <v>87</v>
      </c>
      <c r="I61" t="s">
        <v>57</v>
      </c>
      <c r="J61" t="s">
        <v>35</v>
      </c>
      <c r="K61" t="s">
        <v>35</v>
      </c>
      <c r="L61" t="s">
        <v>35</v>
      </c>
      <c r="M61" t="s">
        <v>35</v>
      </c>
      <c r="N61" t="s">
        <v>34</v>
      </c>
      <c r="O61" t="s">
        <v>79</v>
      </c>
      <c r="P61" t="s">
        <v>35</v>
      </c>
      <c r="Q61" t="s">
        <v>35</v>
      </c>
      <c r="R61" t="s">
        <v>59</v>
      </c>
      <c r="S61" t="s">
        <v>35</v>
      </c>
      <c r="T61" t="s">
        <v>35</v>
      </c>
      <c r="U61" t="s">
        <v>35</v>
      </c>
      <c r="V61" t="s">
        <v>35</v>
      </c>
      <c r="W61" t="s">
        <v>35</v>
      </c>
      <c r="X61" t="s">
        <v>80</v>
      </c>
      <c r="Y61" t="s">
        <v>35</v>
      </c>
    </row>
    <row r="62" spans="1:25">
      <c r="A62" s="1" t="s">
        <v>25</v>
      </c>
      <c r="B62" t="s">
        <v>26</v>
      </c>
      <c r="C62" t="s">
        <v>40</v>
      </c>
      <c r="D62" t="s">
        <v>28</v>
      </c>
      <c r="E62" t="s">
        <v>53</v>
      </c>
      <c r="F62" t="s">
        <v>42</v>
      </c>
      <c r="G62" t="s">
        <v>43</v>
      </c>
      <c r="H62" t="s">
        <v>32</v>
      </c>
      <c r="I62" t="s">
        <v>101</v>
      </c>
      <c r="J62" t="s">
        <v>34</v>
      </c>
      <c r="K62" t="s">
        <v>34</v>
      </c>
      <c r="L62" t="s">
        <v>35</v>
      </c>
      <c r="M62" t="s">
        <v>34</v>
      </c>
      <c r="N62" t="s">
        <v>35</v>
      </c>
      <c r="O62" t="s">
        <v>72</v>
      </c>
      <c r="P62" t="s">
        <v>35</v>
      </c>
      <c r="Q62" t="s">
        <v>35</v>
      </c>
      <c r="R62" t="s">
        <v>47</v>
      </c>
      <c r="S62" t="s">
        <v>35</v>
      </c>
      <c r="T62" t="s">
        <v>35</v>
      </c>
      <c r="U62" t="s">
        <v>35</v>
      </c>
      <c r="V62" t="s">
        <v>35</v>
      </c>
      <c r="W62" t="s">
        <v>35</v>
      </c>
      <c r="X62" t="s">
        <v>91</v>
      </c>
      <c r="Y62" t="s">
        <v>35</v>
      </c>
    </row>
    <row r="63" spans="1:25">
      <c r="A63" s="1" t="s">
        <v>39</v>
      </c>
      <c r="B63" t="s">
        <v>26</v>
      </c>
      <c r="C63" t="s">
        <v>27</v>
      </c>
      <c r="D63" t="s">
        <v>28</v>
      </c>
      <c r="E63" t="s">
        <v>61</v>
      </c>
      <c r="F63" t="s">
        <v>30</v>
      </c>
      <c r="G63" t="s">
        <v>31</v>
      </c>
      <c r="H63" t="s">
        <v>44</v>
      </c>
      <c r="I63" t="s">
        <v>99</v>
      </c>
      <c r="J63" t="s">
        <v>34</v>
      </c>
      <c r="K63" t="s">
        <v>34</v>
      </c>
      <c r="L63" t="s">
        <v>34</v>
      </c>
      <c r="M63" t="s">
        <v>34</v>
      </c>
      <c r="N63" t="s">
        <v>35</v>
      </c>
      <c r="O63" t="s">
        <v>84</v>
      </c>
      <c r="P63" t="s">
        <v>34</v>
      </c>
      <c r="Q63" t="s">
        <v>34</v>
      </c>
      <c r="R63" t="s">
        <v>63</v>
      </c>
      <c r="S63" t="s">
        <v>34</v>
      </c>
      <c r="T63" t="s">
        <v>34</v>
      </c>
      <c r="U63" t="s">
        <v>34</v>
      </c>
      <c r="V63" t="s">
        <v>35</v>
      </c>
      <c r="W63" t="s">
        <v>34</v>
      </c>
      <c r="X63" t="s">
        <v>64</v>
      </c>
      <c r="Y63" t="s">
        <v>34</v>
      </c>
    </row>
    <row r="64" spans="1:25">
      <c r="A64" s="1" t="s">
        <v>49</v>
      </c>
      <c r="B64" t="s">
        <v>50</v>
      </c>
      <c r="C64" t="s">
        <v>51</v>
      </c>
      <c r="D64" t="s">
        <v>75</v>
      </c>
      <c r="E64" t="s">
        <v>65</v>
      </c>
      <c r="F64" t="s">
        <v>77</v>
      </c>
      <c r="G64" t="s">
        <v>55</v>
      </c>
      <c r="H64" t="s">
        <v>56</v>
      </c>
      <c r="I64" t="s">
        <v>92</v>
      </c>
      <c r="J64" t="s">
        <v>35</v>
      </c>
      <c r="K64" t="s">
        <v>35</v>
      </c>
      <c r="L64" t="s">
        <v>35</v>
      </c>
      <c r="M64" t="s">
        <v>35</v>
      </c>
      <c r="N64" t="s">
        <v>34</v>
      </c>
      <c r="O64" t="s">
        <v>36</v>
      </c>
      <c r="P64" t="s">
        <v>35</v>
      </c>
      <c r="Q64" t="s">
        <v>35</v>
      </c>
      <c r="R64" t="s">
        <v>59</v>
      </c>
      <c r="S64" t="s">
        <v>35</v>
      </c>
      <c r="T64" t="s">
        <v>35</v>
      </c>
      <c r="U64" t="s">
        <v>35</v>
      </c>
      <c r="V64" t="s">
        <v>35</v>
      </c>
      <c r="W64" t="s">
        <v>35</v>
      </c>
      <c r="X64" t="s">
        <v>80</v>
      </c>
      <c r="Y64" t="s">
        <v>35</v>
      </c>
    </row>
    <row r="65" spans="1:25">
      <c r="A65" s="1" t="s">
        <v>25</v>
      </c>
      <c r="B65" t="s">
        <v>50</v>
      </c>
      <c r="C65" t="s">
        <v>27</v>
      </c>
      <c r="D65" t="s">
        <v>52</v>
      </c>
      <c r="E65" t="s">
        <v>70</v>
      </c>
      <c r="F65" t="s">
        <v>54</v>
      </c>
      <c r="G65" t="s">
        <v>55</v>
      </c>
      <c r="H65" t="s">
        <v>44</v>
      </c>
      <c r="I65" t="s">
        <v>97</v>
      </c>
      <c r="J65" t="s">
        <v>35</v>
      </c>
      <c r="K65" t="s">
        <v>35</v>
      </c>
      <c r="L65" t="s">
        <v>35</v>
      </c>
      <c r="M65" t="s">
        <v>34</v>
      </c>
      <c r="N65" t="s">
        <v>34</v>
      </c>
      <c r="O65" t="s">
        <v>58</v>
      </c>
      <c r="P65" t="s">
        <v>35</v>
      </c>
      <c r="Q65" t="s">
        <v>35</v>
      </c>
      <c r="R65" t="s">
        <v>37</v>
      </c>
      <c r="S65" t="s">
        <v>35</v>
      </c>
      <c r="T65" t="s">
        <v>35</v>
      </c>
      <c r="U65" t="s">
        <v>35</v>
      </c>
      <c r="V65" t="s">
        <v>35</v>
      </c>
      <c r="W65" t="s">
        <v>35</v>
      </c>
      <c r="X65" t="s">
        <v>89</v>
      </c>
      <c r="Y65" t="s">
        <v>35</v>
      </c>
    </row>
    <row r="66" spans="1:25">
      <c r="A66" s="1" t="s">
        <v>39</v>
      </c>
      <c r="B66" t="s">
        <v>26</v>
      </c>
      <c r="C66" t="s">
        <v>40</v>
      </c>
      <c r="D66" t="s">
        <v>28</v>
      </c>
      <c r="E66" t="s">
        <v>76</v>
      </c>
      <c r="F66" t="s">
        <v>42</v>
      </c>
      <c r="G66" t="s">
        <v>43</v>
      </c>
      <c r="H66" t="s">
        <v>32</v>
      </c>
      <c r="I66" t="s">
        <v>100</v>
      </c>
      <c r="J66" t="s">
        <v>34</v>
      </c>
      <c r="K66" t="s">
        <v>34</v>
      </c>
      <c r="L66" t="s">
        <v>35</v>
      </c>
      <c r="M66" t="s">
        <v>34</v>
      </c>
      <c r="N66" t="s">
        <v>35</v>
      </c>
      <c r="O66" t="s">
        <v>46</v>
      </c>
      <c r="P66" t="s">
        <v>35</v>
      </c>
      <c r="Q66" t="s">
        <v>35</v>
      </c>
      <c r="R66" t="s">
        <v>73</v>
      </c>
      <c r="S66" t="s">
        <v>35</v>
      </c>
      <c r="T66" t="s">
        <v>35</v>
      </c>
      <c r="U66" t="s">
        <v>35</v>
      </c>
      <c r="V66" t="s">
        <v>35</v>
      </c>
      <c r="W66" t="s">
        <v>35</v>
      </c>
      <c r="X66" t="s">
        <v>74</v>
      </c>
      <c r="Y66" t="s">
        <v>35</v>
      </c>
    </row>
    <row r="67" spans="1:25">
      <c r="A67" s="1" t="s">
        <v>49</v>
      </c>
      <c r="B67" t="s">
        <v>26</v>
      </c>
      <c r="C67" t="s">
        <v>51</v>
      </c>
      <c r="D67" t="s">
        <v>52</v>
      </c>
      <c r="E67" t="s">
        <v>82</v>
      </c>
      <c r="F67" t="s">
        <v>77</v>
      </c>
      <c r="G67" t="s">
        <v>55</v>
      </c>
      <c r="H67" t="s">
        <v>44</v>
      </c>
      <c r="I67" t="s">
        <v>57</v>
      </c>
      <c r="J67" t="s">
        <v>35</v>
      </c>
      <c r="K67" t="s">
        <v>35</v>
      </c>
      <c r="L67" t="s">
        <v>35</v>
      </c>
      <c r="M67" t="s">
        <v>35</v>
      </c>
      <c r="N67" t="s">
        <v>34</v>
      </c>
      <c r="O67" t="s">
        <v>93</v>
      </c>
      <c r="P67" t="s">
        <v>35</v>
      </c>
      <c r="Q67" t="s">
        <v>35</v>
      </c>
      <c r="R67" t="s">
        <v>59</v>
      </c>
      <c r="S67" t="s">
        <v>35</v>
      </c>
      <c r="T67" t="s">
        <v>35</v>
      </c>
      <c r="U67" t="s">
        <v>35</v>
      </c>
      <c r="V67" t="s">
        <v>35</v>
      </c>
      <c r="W67" t="s">
        <v>35</v>
      </c>
      <c r="X67" t="s">
        <v>80</v>
      </c>
      <c r="Y67" t="s">
        <v>35</v>
      </c>
    </row>
    <row r="68" spans="1:25">
      <c r="A68" s="1" t="s">
        <v>25</v>
      </c>
      <c r="B68" t="s">
        <v>26</v>
      </c>
      <c r="C68" t="s">
        <v>27</v>
      </c>
      <c r="D68" t="s">
        <v>28</v>
      </c>
      <c r="E68" t="s">
        <v>86</v>
      </c>
      <c r="F68" t="s">
        <v>30</v>
      </c>
      <c r="G68" t="s">
        <v>31</v>
      </c>
      <c r="H68" t="s">
        <v>32</v>
      </c>
      <c r="I68" t="s">
        <v>99</v>
      </c>
      <c r="J68" t="s">
        <v>34</v>
      </c>
      <c r="K68" t="s">
        <v>34</v>
      </c>
      <c r="L68" t="s">
        <v>34</v>
      </c>
      <c r="M68" t="s">
        <v>34</v>
      </c>
      <c r="N68" t="s">
        <v>35</v>
      </c>
      <c r="O68" t="s">
        <v>84</v>
      </c>
      <c r="P68" t="s">
        <v>34</v>
      </c>
      <c r="Q68" t="s">
        <v>34</v>
      </c>
      <c r="R68" t="s">
        <v>63</v>
      </c>
      <c r="S68" t="s">
        <v>34</v>
      </c>
      <c r="T68" t="s">
        <v>34</v>
      </c>
      <c r="U68" t="s">
        <v>34</v>
      </c>
      <c r="V68" t="s">
        <v>35</v>
      </c>
      <c r="W68" t="s">
        <v>34</v>
      </c>
      <c r="X68" t="s">
        <v>64</v>
      </c>
      <c r="Y68" t="s">
        <v>34</v>
      </c>
    </row>
    <row r="69" spans="1:25">
      <c r="A69" s="1" t="s">
        <v>39</v>
      </c>
      <c r="B69" t="s">
        <v>50</v>
      </c>
      <c r="C69" t="s">
        <v>27</v>
      </c>
      <c r="D69" t="s">
        <v>28</v>
      </c>
      <c r="E69" t="s">
        <v>29</v>
      </c>
      <c r="F69" t="s">
        <v>66</v>
      </c>
      <c r="G69" t="s">
        <v>43</v>
      </c>
      <c r="H69" t="s">
        <v>87</v>
      </c>
      <c r="I69" t="s">
        <v>98</v>
      </c>
      <c r="J69" t="s">
        <v>34</v>
      </c>
      <c r="K69" t="s">
        <v>35</v>
      </c>
      <c r="L69" t="s">
        <v>35</v>
      </c>
      <c r="M69" t="s">
        <v>34</v>
      </c>
      <c r="N69" t="s">
        <v>35</v>
      </c>
      <c r="O69" t="s">
        <v>68</v>
      </c>
      <c r="P69" t="s">
        <v>35</v>
      </c>
      <c r="Q69" t="s">
        <v>35</v>
      </c>
      <c r="R69" t="s">
        <v>37</v>
      </c>
      <c r="S69" t="s">
        <v>35</v>
      </c>
      <c r="T69" t="s">
        <v>35</v>
      </c>
      <c r="U69" t="s">
        <v>35</v>
      </c>
      <c r="V69" t="s">
        <v>35</v>
      </c>
      <c r="W69" t="s">
        <v>35</v>
      </c>
      <c r="X69" t="s">
        <v>48</v>
      </c>
      <c r="Y69" t="s">
        <v>35</v>
      </c>
    </row>
    <row r="70" spans="1:25">
      <c r="A70" s="1" t="s">
        <v>49</v>
      </c>
      <c r="B70" t="s">
        <v>26</v>
      </c>
      <c r="C70" t="s">
        <v>51</v>
      </c>
      <c r="D70" t="s">
        <v>75</v>
      </c>
      <c r="E70" t="s">
        <v>41</v>
      </c>
      <c r="F70" t="s">
        <v>54</v>
      </c>
      <c r="G70" t="s">
        <v>55</v>
      </c>
      <c r="H70" t="s">
        <v>56</v>
      </c>
      <c r="I70" t="s">
        <v>57</v>
      </c>
      <c r="J70" t="s">
        <v>35</v>
      </c>
      <c r="K70" t="s">
        <v>35</v>
      </c>
      <c r="L70" t="s">
        <v>35</v>
      </c>
      <c r="M70" t="s">
        <v>35</v>
      </c>
      <c r="N70" t="s">
        <v>34</v>
      </c>
      <c r="O70" t="s">
        <v>79</v>
      </c>
      <c r="P70" t="s">
        <v>35</v>
      </c>
      <c r="Q70" t="s">
        <v>35</v>
      </c>
      <c r="R70" t="s">
        <v>59</v>
      </c>
      <c r="S70" t="s">
        <v>35</v>
      </c>
      <c r="T70" t="s">
        <v>35</v>
      </c>
      <c r="U70" t="s">
        <v>35</v>
      </c>
      <c r="V70" t="s">
        <v>35</v>
      </c>
      <c r="W70" t="s">
        <v>35</v>
      </c>
      <c r="X70" t="s">
        <v>80</v>
      </c>
      <c r="Y70" t="s">
        <v>35</v>
      </c>
    </row>
    <row r="71" spans="1:25">
      <c r="A71" s="1" t="s">
        <v>25</v>
      </c>
      <c r="B71" t="s">
        <v>26</v>
      </c>
      <c r="C71" t="s">
        <v>40</v>
      </c>
      <c r="D71" t="s">
        <v>28</v>
      </c>
      <c r="E71" t="s">
        <v>53</v>
      </c>
      <c r="F71" t="s">
        <v>42</v>
      </c>
      <c r="G71" t="s">
        <v>43</v>
      </c>
      <c r="H71" t="s">
        <v>32</v>
      </c>
      <c r="I71" t="s">
        <v>101</v>
      </c>
      <c r="J71" t="s">
        <v>34</v>
      </c>
      <c r="K71" t="s">
        <v>34</v>
      </c>
      <c r="L71" t="s">
        <v>35</v>
      </c>
      <c r="M71" t="s">
        <v>34</v>
      </c>
      <c r="N71" t="s">
        <v>35</v>
      </c>
      <c r="O71" t="s">
        <v>72</v>
      </c>
      <c r="P71" t="s">
        <v>35</v>
      </c>
      <c r="Q71" t="s">
        <v>35</v>
      </c>
      <c r="R71" t="s">
        <v>47</v>
      </c>
      <c r="S71" t="s">
        <v>35</v>
      </c>
      <c r="T71" t="s">
        <v>35</v>
      </c>
      <c r="U71" t="s">
        <v>35</v>
      </c>
      <c r="V71" t="s">
        <v>35</v>
      </c>
      <c r="W71" t="s">
        <v>35</v>
      </c>
      <c r="X71" t="s">
        <v>91</v>
      </c>
      <c r="Y71" t="s">
        <v>35</v>
      </c>
    </row>
    <row r="72" spans="1:25">
      <c r="A72" s="1" t="s">
        <v>39</v>
      </c>
      <c r="B72" t="s">
        <v>26</v>
      </c>
      <c r="C72" t="s">
        <v>27</v>
      </c>
      <c r="D72" t="s">
        <v>28</v>
      </c>
      <c r="E72" t="s">
        <v>29</v>
      </c>
      <c r="F72" t="s">
        <v>30</v>
      </c>
      <c r="G72" t="s">
        <v>31</v>
      </c>
      <c r="H72" t="s">
        <v>32</v>
      </c>
      <c r="I72" t="s">
        <v>33</v>
      </c>
      <c r="J72" t="s">
        <v>34</v>
      </c>
      <c r="K72" t="s">
        <v>34</v>
      </c>
      <c r="L72" t="s">
        <v>34</v>
      </c>
      <c r="M72" t="s">
        <v>34</v>
      </c>
      <c r="N72" t="s">
        <v>35</v>
      </c>
      <c r="O72" t="s">
        <v>105</v>
      </c>
      <c r="P72" t="s">
        <v>34</v>
      </c>
      <c r="Q72" t="s">
        <v>34</v>
      </c>
      <c r="R72" t="s">
        <v>63</v>
      </c>
      <c r="S72" t="s">
        <v>34</v>
      </c>
      <c r="T72" t="s">
        <v>34</v>
      </c>
      <c r="U72" t="s">
        <v>34</v>
      </c>
      <c r="V72" t="s">
        <v>35</v>
      </c>
      <c r="W72" t="s">
        <v>34</v>
      </c>
      <c r="X72" t="s">
        <v>64</v>
      </c>
      <c r="Y72" t="s">
        <v>34</v>
      </c>
    </row>
    <row r="73" spans="1:25">
      <c r="A73" s="1" t="s">
        <v>25</v>
      </c>
      <c r="B73" t="s">
        <v>50</v>
      </c>
      <c r="C73" t="s">
        <v>51</v>
      </c>
      <c r="D73" t="s">
        <v>52</v>
      </c>
      <c r="E73" t="s">
        <v>41</v>
      </c>
      <c r="F73" t="s">
        <v>54</v>
      </c>
      <c r="G73" t="s">
        <v>55</v>
      </c>
      <c r="H73" t="s">
        <v>44</v>
      </c>
      <c r="I73" t="s">
        <v>57</v>
      </c>
      <c r="J73" t="s">
        <v>35</v>
      </c>
      <c r="K73" t="s">
        <v>35</v>
      </c>
      <c r="L73" t="s">
        <v>35</v>
      </c>
      <c r="M73" t="s">
        <v>34</v>
      </c>
      <c r="N73" t="s">
        <v>34</v>
      </c>
      <c r="O73" t="s">
        <v>79</v>
      </c>
      <c r="P73" t="s">
        <v>35</v>
      </c>
      <c r="Q73" t="s">
        <v>35</v>
      </c>
      <c r="R73" t="s">
        <v>37</v>
      </c>
      <c r="S73" t="s">
        <v>35</v>
      </c>
      <c r="T73" t="s">
        <v>35</v>
      </c>
      <c r="U73" t="s">
        <v>35</v>
      </c>
      <c r="V73" t="s">
        <v>35</v>
      </c>
      <c r="W73" t="s">
        <v>35</v>
      </c>
      <c r="X73" t="s">
        <v>60</v>
      </c>
      <c r="Y73" t="s">
        <v>35</v>
      </c>
    </row>
    <row r="74" spans="1:25">
      <c r="A74" s="1" t="s">
        <v>49</v>
      </c>
      <c r="B74" t="s">
        <v>26</v>
      </c>
      <c r="C74" t="s">
        <v>27</v>
      </c>
      <c r="D74" t="s">
        <v>75</v>
      </c>
      <c r="E74" t="s">
        <v>53</v>
      </c>
      <c r="F74" t="s">
        <v>77</v>
      </c>
      <c r="G74" t="s">
        <v>55</v>
      </c>
      <c r="H74" t="s">
        <v>87</v>
      </c>
      <c r="I74" t="s">
        <v>78</v>
      </c>
      <c r="J74" t="s">
        <v>35</v>
      </c>
      <c r="K74" t="s">
        <v>35</v>
      </c>
      <c r="L74" t="s">
        <v>35</v>
      </c>
      <c r="M74" t="s">
        <v>35</v>
      </c>
      <c r="N74" t="s">
        <v>34</v>
      </c>
      <c r="O74" t="s">
        <v>106</v>
      </c>
      <c r="P74" t="s">
        <v>35</v>
      </c>
      <c r="Q74" t="s">
        <v>35</v>
      </c>
      <c r="R74" t="s">
        <v>59</v>
      </c>
      <c r="S74" t="s">
        <v>35</v>
      </c>
      <c r="T74" t="s">
        <v>35</v>
      </c>
      <c r="U74" t="s">
        <v>35</v>
      </c>
      <c r="V74" t="s">
        <v>35</v>
      </c>
      <c r="W74" t="s">
        <v>35</v>
      </c>
      <c r="X74" t="s">
        <v>80</v>
      </c>
      <c r="Y74" t="s">
        <v>35</v>
      </c>
    </row>
    <row r="75" spans="1:25">
      <c r="A75" s="1" t="s">
        <v>81</v>
      </c>
      <c r="B75" t="s">
        <v>26</v>
      </c>
      <c r="C75" t="s">
        <v>40</v>
      </c>
      <c r="D75" t="s">
        <v>28</v>
      </c>
      <c r="E75" t="s">
        <v>61</v>
      </c>
      <c r="F75" t="s">
        <v>42</v>
      </c>
      <c r="G75" t="s">
        <v>43</v>
      </c>
      <c r="H75" t="s">
        <v>32</v>
      </c>
      <c r="I75" t="s">
        <v>98</v>
      </c>
      <c r="J75" t="s">
        <v>34</v>
      </c>
      <c r="K75" t="s">
        <v>34</v>
      </c>
      <c r="L75" t="s">
        <v>35</v>
      </c>
      <c r="M75" t="s">
        <v>34</v>
      </c>
      <c r="N75" t="s">
        <v>35</v>
      </c>
      <c r="O75" t="s">
        <v>105</v>
      </c>
      <c r="P75" t="s">
        <v>35</v>
      </c>
      <c r="Q75" t="s">
        <v>34</v>
      </c>
      <c r="R75" t="s">
        <v>63</v>
      </c>
      <c r="S75" t="s">
        <v>34</v>
      </c>
      <c r="T75" t="s">
        <v>34</v>
      </c>
      <c r="U75" t="s">
        <v>34</v>
      </c>
      <c r="V75" t="s">
        <v>35</v>
      </c>
      <c r="W75" t="s">
        <v>34</v>
      </c>
      <c r="X75" t="s">
        <v>74</v>
      </c>
      <c r="Y75" t="s">
        <v>34</v>
      </c>
    </row>
    <row r="76" spans="1:25">
      <c r="A76" s="1" t="s">
        <v>25</v>
      </c>
      <c r="B76" t="s">
        <v>26</v>
      </c>
      <c r="C76" t="s">
        <v>27</v>
      </c>
      <c r="D76" t="s">
        <v>28</v>
      </c>
      <c r="E76" t="s">
        <v>65</v>
      </c>
      <c r="F76" t="s">
        <v>30</v>
      </c>
      <c r="G76" t="s">
        <v>31</v>
      </c>
      <c r="H76" t="s">
        <v>44</v>
      </c>
      <c r="I76" t="s">
        <v>33</v>
      </c>
      <c r="J76" t="s">
        <v>34</v>
      </c>
      <c r="K76" t="s">
        <v>34</v>
      </c>
      <c r="L76" t="s">
        <v>34</v>
      </c>
      <c r="M76" t="s">
        <v>34</v>
      </c>
      <c r="N76" t="s">
        <v>35</v>
      </c>
      <c r="O76" t="s">
        <v>84</v>
      </c>
      <c r="P76" t="s">
        <v>34</v>
      </c>
      <c r="Q76" t="s">
        <v>34</v>
      </c>
      <c r="R76" t="s">
        <v>63</v>
      </c>
      <c r="S76" t="s">
        <v>34</v>
      </c>
      <c r="T76" t="s">
        <v>34</v>
      </c>
      <c r="U76" t="s">
        <v>34</v>
      </c>
      <c r="V76" t="s">
        <v>35</v>
      </c>
      <c r="W76" t="s">
        <v>34</v>
      </c>
      <c r="X76" t="s">
        <v>96</v>
      </c>
      <c r="Y76" t="s">
        <v>34</v>
      </c>
    </row>
    <row r="77" spans="1:25">
      <c r="A77" s="1" t="s">
        <v>39</v>
      </c>
      <c r="B77" t="s">
        <v>50</v>
      </c>
      <c r="C77" t="s">
        <v>51</v>
      </c>
      <c r="D77" t="s">
        <v>28</v>
      </c>
      <c r="E77" t="s">
        <v>70</v>
      </c>
      <c r="F77" t="s">
        <v>66</v>
      </c>
      <c r="G77" t="s">
        <v>43</v>
      </c>
      <c r="H77" t="s">
        <v>56</v>
      </c>
      <c r="I77" t="s">
        <v>90</v>
      </c>
      <c r="J77" t="s">
        <v>34</v>
      </c>
      <c r="K77" t="s">
        <v>35</v>
      </c>
      <c r="L77" t="s">
        <v>35</v>
      </c>
      <c r="M77" t="s">
        <v>34</v>
      </c>
      <c r="N77" t="s">
        <v>35</v>
      </c>
      <c r="O77" t="s">
        <v>68</v>
      </c>
      <c r="P77" t="s">
        <v>35</v>
      </c>
      <c r="Q77" t="s">
        <v>35</v>
      </c>
      <c r="R77" t="s">
        <v>37</v>
      </c>
      <c r="S77" t="s">
        <v>35</v>
      </c>
      <c r="T77" t="s">
        <v>35</v>
      </c>
      <c r="U77" t="s">
        <v>35</v>
      </c>
      <c r="V77" t="s">
        <v>35</v>
      </c>
      <c r="W77" t="s">
        <v>35</v>
      </c>
      <c r="X77" t="s">
        <v>107</v>
      </c>
      <c r="Y77" t="s">
        <v>35</v>
      </c>
    </row>
    <row r="78" spans="1:25">
      <c r="A78" s="1" t="s">
        <v>49</v>
      </c>
      <c r="B78" t="s">
        <v>50</v>
      </c>
      <c r="C78" t="s">
        <v>51</v>
      </c>
      <c r="D78" t="s">
        <v>52</v>
      </c>
      <c r="E78" t="s">
        <v>76</v>
      </c>
      <c r="F78" t="s">
        <v>77</v>
      </c>
      <c r="G78" t="s">
        <v>55</v>
      </c>
      <c r="H78" t="s">
        <v>44</v>
      </c>
      <c r="I78" t="s">
        <v>92</v>
      </c>
      <c r="J78" t="s">
        <v>35</v>
      </c>
      <c r="K78" t="s">
        <v>35</v>
      </c>
      <c r="L78" t="s">
        <v>35</v>
      </c>
      <c r="M78" t="s">
        <v>35</v>
      </c>
      <c r="N78" t="s">
        <v>34</v>
      </c>
      <c r="O78" t="s">
        <v>93</v>
      </c>
      <c r="P78" t="s">
        <v>35</v>
      </c>
      <c r="Q78" t="s">
        <v>35</v>
      </c>
      <c r="R78" t="s">
        <v>59</v>
      </c>
      <c r="S78" t="s">
        <v>35</v>
      </c>
      <c r="T78" t="s">
        <v>35</v>
      </c>
      <c r="U78" t="s">
        <v>35</v>
      </c>
      <c r="V78" t="s">
        <v>35</v>
      </c>
      <c r="W78" t="s">
        <v>35</v>
      </c>
      <c r="X78" t="s">
        <v>80</v>
      </c>
      <c r="Y78" t="s">
        <v>35</v>
      </c>
    </row>
    <row r="79" spans="1:25">
      <c r="A79" s="1" t="s">
        <v>25</v>
      </c>
      <c r="B79" t="s">
        <v>26</v>
      </c>
      <c r="C79" t="s">
        <v>40</v>
      </c>
      <c r="D79" t="s">
        <v>28</v>
      </c>
      <c r="E79" t="s">
        <v>82</v>
      </c>
      <c r="F79" t="s">
        <v>42</v>
      </c>
      <c r="G79" t="s">
        <v>43</v>
      </c>
      <c r="H79" t="s">
        <v>32</v>
      </c>
      <c r="I79" t="s">
        <v>71</v>
      </c>
      <c r="J79" t="s">
        <v>34</v>
      </c>
      <c r="K79" t="s">
        <v>34</v>
      </c>
      <c r="L79" t="s">
        <v>35</v>
      </c>
      <c r="M79" t="s">
        <v>34</v>
      </c>
      <c r="N79" t="s">
        <v>35</v>
      </c>
      <c r="O79" t="s">
        <v>72</v>
      </c>
      <c r="P79" t="s">
        <v>35</v>
      </c>
      <c r="Q79" t="s">
        <v>35</v>
      </c>
      <c r="R79" t="s">
        <v>73</v>
      </c>
      <c r="S79" t="s">
        <v>35</v>
      </c>
      <c r="T79" t="s">
        <v>35</v>
      </c>
      <c r="U79" t="s">
        <v>35</v>
      </c>
      <c r="V79" t="s">
        <v>35</v>
      </c>
      <c r="W79" t="s">
        <v>35</v>
      </c>
      <c r="X79" t="s">
        <v>74</v>
      </c>
      <c r="Y79" t="s">
        <v>35</v>
      </c>
    </row>
    <row r="80" spans="1:25">
      <c r="A80" s="1" t="s">
        <v>39</v>
      </c>
      <c r="B80" t="s">
        <v>26</v>
      </c>
      <c r="C80" t="s">
        <v>27</v>
      </c>
      <c r="D80" t="s">
        <v>28</v>
      </c>
      <c r="E80" t="s">
        <v>86</v>
      </c>
      <c r="F80" t="s">
        <v>30</v>
      </c>
      <c r="G80" t="s">
        <v>31</v>
      </c>
      <c r="H80" t="s">
        <v>32</v>
      </c>
      <c r="I80" t="s">
        <v>99</v>
      </c>
      <c r="J80" t="s">
        <v>34</v>
      </c>
      <c r="K80" t="s">
        <v>34</v>
      </c>
      <c r="L80" t="s">
        <v>34</v>
      </c>
      <c r="M80" t="s">
        <v>34</v>
      </c>
      <c r="N80" t="s">
        <v>35</v>
      </c>
      <c r="O80" t="s">
        <v>84</v>
      </c>
      <c r="P80" t="s">
        <v>34</v>
      </c>
      <c r="Q80" t="s">
        <v>34</v>
      </c>
      <c r="R80" t="s">
        <v>63</v>
      </c>
      <c r="S80" t="s">
        <v>34</v>
      </c>
      <c r="T80" t="s">
        <v>34</v>
      </c>
      <c r="U80" t="s">
        <v>34</v>
      </c>
      <c r="V80" t="s">
        <v>35</v>
      </c>
      <c r="W80" t="s">
        <v>34</v>
      </c>
      <c r="X80" t="s">
        <v>64</v>
      </c>
      <c r="Y80" t="s">
        <v>34</v>
      </c>
    </row>
    <row r="81" spans="1:25">
      <c r="A81" s="1" t="s">
        <v>49</v>
      </c>
      <c r="B81" t="s">
        <v>50</v>
      </c>
      <c r="C81" t="s">
        <v>51</v>
      </c>
      <c r="D81" t="s">
        <v>75</v>
      </c>
      <c r="E81" t="s">
        <v>29</v>
      </c>
      <c r="F81" t="s">
        <v>54</v>
      </c>
      <c r="G81" t="s">
        <v>55</v>
      </c>
      <c r="H81" t="s">
        <v>56</v>
      </c>
      <c r="I81" t="s">
        <v>97</v>
      </c>
      <c r="J81" t="s">
        <v>35</v>
      </c>
      <c r="K81" t="s">
        <v>35</v>
      </c>
      <c r="L81" t="s">
        <v>35</v>
      </c>
      <c r="M81" t="s">
        <v>35</v>
      </c>
      <c r="N81" t="s">
        <v>34</v>
      </c>
      <c r="O81" t="s">
        <v>79</v>
      </c>
      <c r="P81" t="s">
        <v>35</v>
      </c>
      <c r="Q81" t="s">
        <v>35</v>
      </c>
      <c r="R81" t="s">
        <v>37</v>
      </c>
      <c r="S81" t="s">
        <v>35</v>
      </c>
      <c r="T81" t="s">
        <v>35</v>
      </c>
      <c r="U81" t="s">
        <v>35</v>
      </c>
      <c r="V81" t="s">
        <v>35</v>
      </c>
      <c r="W81" t="s">
        <v>35</v>
      </c>
      <c r="X81" t="s">
        <v>60</v>
      </c>
      <c r="Y81" t="s">
        <v>35</v>
      </c>
    </row>
    <row r="82" spans="1:25">
      <c r="A82" s="1" t="s">
        <v>25</v>
      </c>
      <c r="B82" t="s">
        <v>26</v>
      </c>
      <c r="C82" t="s">
        <v>27</v>
      </c>
      <c r="D82" t="s">
        <v>28</v>
      </c>
      <c r="E82" t="s">
        <v>41</v>
      </c>
      <c r="F82" t="s">
        <v>30</v>
      </c>
      <c r="G82" t="s">
        <v>31</v>
      </c>
      <c r="H82" t="s">
        <v>44</v>
      </c>
      <c r="I82" t="s">
        <v>95</v>
      </c>
      <c r="J82" t="s">
        <v>34</v>
      </c>
      <c r="K82" t="s">
        <v>34</v>
      </c>
      <c r="L82" t="s">
        <v>34</v>
      </c>
      <c r="M82" t="s">
        <v>34</v>
      </c>
      <c r="N82" t="s">
        <v>35</v>
      </c>
      <c r="O82" t="s">
        <v>84</v>
      </c>
      <c r="P82" t="s">
        <v>34</v>
      </c>
      <c r="Q82" t="s">
        <v>34</v>
      </c>
      <c r="R82" t="s">
        <v>63</v>
      </c>
      <c r="S82" t="s">
        <v>34</v>
      </c>
      <c r="T82" t="s">
        <v>34</v>
      </c>
      <c r="U82" t="s">
        <v>34</v>
      </c>
      <c r="V82" t="s">
        <v>35</v>
      </c>
      <c r="W82" t="s">
        <v>34</v>
      </c>
      <c r="X82" t="s">
        <v>64</v>
      </c>
      <c r="Y82" t="s">
        <v>34</v>
      </c>
    </row>
    <row r="83" spans="1:25">
      <c r="A83" s="1" t="s">
        <v>39</v>
      </c>
      <c r="B83" t="s">
        <v>50</v>
      </c>
      <c r="C83" t="s">
        <v>40</v>
      </c>
      <c r="D83" t="s">
        <v>28</v>
      </c>
      <c r="E83" t="s">
        <v>53</v>
      </c>
      <c r="F83" t="s">
        <v>66</v>
      </c>
      <c r="G83" t="s">
        <v>43</v>
      </c>
      <c r="H83" t="s">
        <v>87</v>
      </c>
      <c r="I83" t="s">
        <v>98</v>
      </c>
      <c r="J83" t="s">
        <v>34</v>
      </c>
      <c r="K83" t="s">
        <v>35</v>
      </c>
      <c r="L83" t="s">
        <v>35</v>
      </c>
      <c r="M83" t="s">
        <v>34</v>
      </c>
      <c r="N83" t="s">
        <v>35</v>
      </c>
      <c r="O83" t="s">
        <v>68</v>
      </c>
      <c r="P83" t="s">
        <v>35</v>
      </c>
      <c r="Q83" t="s">
        <v>35</v>
      </c>
      <c r="R83" t="s">
        <v>47</v>
      </c>
      <c r="S83" t="s">
        <v>35</v>
      </c>
      <c r="T83" t="s">
        <v>35</v>
      </c>
      <c r="U83" t="s">
        <v>35</v>
      </c>
      <c r="V83" t="s">
        <v>35</v>
      </c>
      <c r="W83" t="s">
        <v>35</v>
      </c>
      <c r="X83" t="s">
        <v>74</v>
      </c>
      <c r="Y83" t="s">
        <v>35</v>
      </c>
    </row>
    <row r="84" spans="1:25">
      <c r="A84" s="1" t="s">
        <v>49</v>
      </c>
      <c r="B84" t="s">
        <v>26</v>
      </c>
      <c r="C84" t="s">
        <v>51</v>
      </c>
      <c r="D84" t="s">
        <v>52</v>
      </c>
      <c r="E84" t="s">
        <v>61</v>
      </c>
      <c r="F84" t="s">
        <v>77</v>
      </c>
      <c r="G84" t="s">
        <v>55</v>
      </c>
      <c r="H84" t="s">
        <v>44</v>
      </c>
      <c r="I84" t="s">
        <v>57</v>
      </c>
      <c r="J84" t="s">
        <v>35</v>
      </c>
      <c r="K84" t="s">
        <v>35</v>
      </c>
      <c r="L84" t="s">
        <v>35</v>
      </c>
      <c r="M84" t="s">
        <v>35</v>
      </c>
      <c r="N84" t="s">
        <v>34</v>
      </c>
      <c r="O84" t="s">
        <v>36</v>
      </c>
      <c r="P84" t="s">
        <v>35</v>
      </c>
      <c r="Q84" t="s">
        <v>35</v>
      </c>
      <c r="R84" t="s">
        <v>59</v>
      </c>
      <c r="S84" t="s">
        <v>35</v>
      </c>
      <c r="T84" t="s">
        <v>35</v>
      </c>
      <c r="U84" t="s">
        <v>35</v>
      </c>
      <c r="V84" t="s">
        <v>35</v>
      </c>
      <c r="W84" t="s">
        <v>35</v>
      </c>
      <c r="X84" t="s">
        <v>80</v>
      </c>
      <c r="Y84" t="s">
        <v>35</v>
      </c>
    </row>
    <row r="85" spans="1:25">
      <c r="A85" s="1" t="s">
        <v>81</v>
      </c>
      <c r="B85" t="s">
        <v>26</v>
      </c>
      <c r="C85" t="s">
        <v>27</v>
      </c>
      <c r="D85" t="s">
        <v>28</v>
      </c>
      <c r="E85" t="s">
        <v>65</v>
      </c>
      <c r="F85" t="s">
        <v>30</v>
      </c>
      <c r="G85" t="s">
        <v>31</v>
      </c>
      <c r="H85" t="s">
        <v>32</v>
      </c>
      <c r="I85" t="s">
        <v>83</v>
      </c>
      <c r="J85" t="s">
        <v>34</v>
      </c>
      <c r="K85" t="s">
        <v>34</v>
      </c>
      <c r="L85" t="s">
        <v>34</v>
      </c>
      <c r="M85" t="s">
        <v>34</v>
      </c>
      <c r="N85" t="s">
        <v>35</v>
      </c>
      <c r="O85" t="s">
        <v>84</v>
      </c>
      <c r="P85" t="s">
        <v>34</v>
      </c>
      <c r="Q85" t="s">
        <v>34</v>
      </c>
      <c r="R85" t="s">
        <v>63</v>
      </c>
      <c r="S85" t="s">
        <v>34</v>
      </c>
      <c r="T85" t="s">
        <v>34</v>
      </c>
      <c r="U85" t="s">
        <v>34</v>
      </c>
      <c r="V85" t="s">
        <v>35</v>
      </c>
      <c r="W85" t="s">
        <v>34</v>
      </c>
      <c r="X85" t="s">
        <v>64</v>
      </c>
      <c r="Y85" t="s">
        <v>34</v>
      </c>
    </row>
    <row r="86" spans="1:25">
      <c r="A86" s="1" t="s">
        <v>25</v>
      </c>
      <c r="B86" t="s">
        <v>50</v>
      </c>
      <c r="C86" t="s">
        <v>27</v>
      </c>
      <c r="D86" t="s">
        <v>52</v>
      </c>
      <c r="E86" t="s">
        <v>70</v>
      </c>
      <c r="F86" t="s">
        <v>54</v>
      </c>
      <c r="G86" t="s">
        <v>55</v>
      </c>
      <c r="H86" t="s">
        <v>44</v>
      </c>
      <c r="I86" t="s">
        <v>57</v>
      </c>
      <c r="J86" t="s">
        <v>35</v>
      </c>
      <c r="K86" t="s">
        <v>35</v>
      </c>
      <c r="L86" t="s">
        <v>35</v>
      </c>
      <c r="M86" t="s">
        <v>34</v>
      </c>
      <c r="N86" t="s">
        <v>34</v>
      </c>
      <c r="O86" t="s">
        <v>58</v>
      </c>
      <c r="P86" t="s">
        <v>35</v>
      </c>
      <c r="Q86" t="s">
        <v>35</v>
      </c>
      <c r="R86" t="s">
        <v>37</v>
      </c>
      <c r="S86" t="s">
        <v>35</v>
      </c>
      <c r="T86" t="s">
        <v>35</v>
      </c>
      <c r="U86" t="s">
        <v>35</v>
      </c>
      <c r="V86" t="s">
        <v>35</v>
      </c>
      <c r="W86" t="s">
        <v>35</v>
      </c>
      <c r="X86" t="s">
        <v>89</v>
      </c>
      <c r="Y86" t="s">
        <v>35</v>
      </c>
    </row>
    <row r="87" spans="1:25">
      <c r="A87" s="1" t="s">
        <v>39</v>
      </c>
      <c r="B87" t="s">
        <v>26</v>
      </c>
      <c r="C87" t="s">
        <v>40</v>
      </c>
      <c r="D87" t="s">
        <v>28</v>
      </c>
      <c r="E87" t="s">
        <v>76</v>
      </c>
      <c r="F87" t="s">
        <v>42</v>
      </c>
      <c r="G87" t="s">
        <v>43</v>
      </c>
      <c r="H87" t="s">
        <v>32</v>
      </c>
      <c r="I87" t="s">
        <v>100</v>
      </c>
      <c r="J87" t="s">
        <v>34</v>
      </c>
      <c r="K87" t="s">
        <v>34</v>
      </c>
      <c r="L87" t="s">
        <v>35</v>
      </c>
      <c r="M87" t="s">
        <v>34</v>
      </c>
      <c r="N87" t="s">
        <v>35</v>
      </c>
      <c r="O87" t="s">
        <v>46</v>
      </c>
      <c r="P87" t="s">
        <v>35</v>
      </c>
      <c r="Q87" t="s">
        <v>35</v>
      </c>
      <c r="R87" t="s">
        <v>73</v>
      </c>
      <c r="S87" t="s">
        <v>35</v>
      </c>
      <c r="T87" t="s">
        <v>35</v>
      </c>
      <c r="U87" t="s">
        <v>35</v>
      </c>
      <c r="V87" t="s">
        <v>35</v>
      </c>
      <c r="W87" t="s">
        <v>35</v>
      </c>
      <c r="X87" t="s">
        <v>74</v>
      </c>
      <c r="Y87" t="s">
        <v>35</v>
      </c>
    </row>
    <row r="88" spans="1:25">
      <c r="A88" s="1" t="s">
        <v>49</v>
      </c>
      <c r="B88" t="s">
        <v>50</v>
      </c>
      <c r="C88" t="s">
        <v>51</v>
      </c>
      <c r="D88" t="s">
        <v>75</v>
      </c>
      <c r="E88" t="s">
        <v>82</v>
      </c>
      <c r="F88" t="s">
        <v>77</v>
      </c>
      <c r="G88" t="s">
        <v>55</v>
      </c>
      <c r="H88" t="s">
        <v>56</v>
      </c>
      <c r="I88" t="s">
        <v>92</v>
      </c>
      <c r="J88" t="s">
        <v>35</v>
      </c>
      <c r="K88" t="s">
        <v>35</v>
      </c>
      <c r="L88" t="s">
        <v>35</v>
      </c>
      <c r="M88" t="s">
        <v>35</v>
      </c>
      <c r="N88" t="s">
        <v>34</v>
      </c>
      <c r="O88" t="s">
        <v>93</v>
      </c>
      <c r="P88" t="s">
        <v>35</v>
      </c>
      <c r="Q88" t="s">
        <v>35</v>
      </c>
      <c r="R88" t="s">
        <v>59</v>
      </c>
      <c r="S88" t="s">
        <v>35</v>
      </c>
      <c r="T88" t="s">
        <v>35</v>
      </c>
      <c r="U88" t="s">
        <v>35</v>
      </c>
      <c r="V88" t="s">
        <v>35</v>
      </c>
      <c r="W88" t="s">
        <v>35</v>
      </c>
      <c r="X88" t="s">
        <v>80</v>
      </c>
      <c r="Y88" t="s">
        <v>35</v>
      </c>
    </row>
    <row r="89" spans="1:25">
      <c r="A89" s="1" t="s">
        <v>25</v>
      </c>
      <c r="B89" t="s">
        <v>26</v>
      </c>
      <c r="C89" t="s">
        <v>27</v>
      </c>
      <c r="D89" t="s">
        <v>28</v>
      </c>
      <c r="E89" t="s">
        <v>86</v>
      </c>
      <c r="F89" t="s">
        <v>30</v>
      </c>
      <c r="G89" t="s">
        <v>31</v>
      </c>
      <c r="H89" t="s">
        <v>32</v>
      </c>
      <c r="I89" t="s">
        <v>99</v>
      </c>
      <c r="J89" t="s">
        <v>34</v>
      </c>
      <c r="K89" t="s">
        <v>34</v>
      </c>
      <c r="L89" t="s">
        <v>34</v>
      </c>
      <c r="M89" t="s">
        <v>34</v>
      </c>
      <c r="N89" t="s">
        <v>35</v>
      </c>
      <c r="O89" t="s">
        <v>84</v>
      </c>
      <c r="P89" t="s">
        <v>34</v>
      </c>
      <c r="Q89" t="s">
        <v>34</v>
      </c>
      <c r="R89" t="s">
        <v>63</v>
      </c>
      <c r="S89" t="s">
        <v>34</v>
      </c>
      <c r="T89" t="s">
        <v>34</v>
      </c>
      <c r="U89" t="s">
        <v>34</v>
      </c>
      <c r="V89" t="s">
        <v>35</v>
      </c>
      <c r="W89" t="s">
        <v>34</v>
      </c>
      <c r="X89" t="s">
        <v>64</v>
      </c>
      <c r="Y89" t="s">
        <v>34</v>
      </c>
    </row>
    <row r="90" spans="1:25">
      <c r="A90" s="1" t="s">
        <v>39</v>
      </c>
      <c r="B90" t="s">
        <v>50</v>
      </c>
      <c r="C90" t="s">
        <v>27</v>
      </c>
      <c r="D90" t="s">
        <v>28</v>
      </c>
      <c r="E90" t="s">
        <v>29</v>
      </c>
      <c r="F90" t="s">
        <v>66</v>
      </c>
      <c r="G90" t="s">
        <v>43</v>
      </c>
      <c r="H90" t="s">
        <v>44</v>
      </c>
      <c r="I90" t="s">
        <v>98</v>
      </c>
      <c r="J90" t="s">
        <v>34</v>
      </c>
      <c r="K90" t="s">
        <v>35</v>
      </c>
      <c r="L90" t="s">
        <v>35</v>
      </c>
      <c r="M90" t="s">
        <v>34</v>
      </c>
      <c r="N90" t="s">
        <v>35</v>
      </c>
      <c r="O90" t="s">
        <v>68</v>
      </c>
      <c r="P90" t="s">
        <v>35</v>
      </c>
      <c r="Q90" t="s">
        <v>35</v>
      </c>
      <c r="R90" t="s">
        <v>37</v>
      </c>
      <c r="S90" t="s">
        <v>35</v>
      </c>
      <c r="T90" t="s">
        <v>35</v>
      </c>
      <c r="U90" t="s">
        <v>35</v>
      </c>
      <c r="V90" t="s">
        <v>35</v>
      </c>
      <c r="W90" t="s">
        <v>35</v>
      </c>
      <c r="X90" t="s">
        <v>48</v>
      </c>
      <c r="Y90" t="s">
        <v>35</v>
      </c>
    </row>
    <row r="91" spans="1:25">
      <c r="A91" s="1" t="s">
        <v>49</v>
      </c>
      <c r="B91" t="s">
        <v>26</v>
      </c>
      <c r="C91" t="s">
        <v>51</v>
      </c>
      <c r="D91" t="s">
        <v>52</v>
      </c>
      <c r="E91" t="s">
        <v>41</v>
      </c>
      <c r="F91" t="s">
        <v>54</v>
      </c>
      <c r="G91" t="s">
        <v>55</v>
      </c>
      <c r="H91" t="s">
        <v>87</v>
      </c>
      <c r="I91" t="s">
        <v>57</v>
      </c>
      <c r="J91" t="s">
        <v>35</v>
      </c>
      <c r="K91" t="s">
        <v>35</v>
      </c>
      <c r="L91" t="s">
        <v>35</v>
      </c>
      <c r="M91" t="s">
        <v>35</v>
      </c>
      <c r="N91" t="s">
        <v>34</v>
      </c>
      <c r="O91" t="s">
        <v>79</v>
      </c>
      <c r="P91" t="s">
        <v>35</v>
      </c>
      <c r="Q91" t="s">
        <v>35</v>
      </c>
      <c r="R91" t="s">
        <v>59</v>
      </c>
      <c r="S91" t="s">
        <v>35</v>
      </c>
      <c r="T91" t="s">
        <v>35</v>
      </c>
      <c r="U91" t="s">
        <v>35</v>
      </c>
      <c r="V91" t="s">
        <v>35</v>
      </c>
      <c r="W91" t="s">
        <v>35</v>
      </c>
      <c r="X91" t="s">
        <v>80</v>
      </c>
      <c r="Y91" t="s">
        <v>35</v>
      </c>
    </row>
    <row r="92" spans="1:25">
      <c r="A92" s="1" t="s">
        <v>25</v>
      </c>
      <c r="B92" t="s">
        <v>26</v>
      </c>
      <c r="C92" t="s">
        <v>40</v>
      </c>
      <c r="D92" t="s">
        <v>28</v>
      </c>
      <c r="E92" t="s">
        <v>53</v>
      </c>
      <c r="F92" t="s">
        <v>42</v>
      </c>
      <c r="G92" t="s">
        <v>43</v>
      </c>
      <c r="H92" t="s">
        <v>32</v>
      </c>
      <c r="I92" t="s">
        <v>101</v>
      </c>
      <c r="J92" t="s">
        <v>34</v>
      </c>
      <c r="K92" t="s">
        <v>34</v>
      </c>
      <c r="L92" t="s">
        <v>35</v>
      </c>
      <c r="M92" t="s">
        <v>34</v>
      </c>
      <c r="N92" t="s">
        <v>35</v>
      </c>
      <c r="O92" t="s">
        <v>72</v>
      </c>
      <c r="P92" t="s">
        <v>35</v>
      </c>
      <c r="Q92" t="s">
        <v>35</v>
      </c>
      <c r="R92" t="s">
        <v>47</v>
      </c>
      <c r="S92" t="s">
        <v>35</v>
      </c>
      <c r="T92" t="s">
        <v>35</v>
      </c>
      <c r="U92" t="s">
        <v>35</v>
      </c>
      <c r="V92" t="s">
        <v>35</v>
      </c>
      <c r="W92" t="s">
        <v>35</v>
      </c>
      <c r="X92" t="s">
        <v>91</v>
      </c>
      <c r="Y92" t="s">
        <v>35</v>
      </c>
    </row>
    <row r="93" spans="1:25">
      <c r="A93" s="1" t="s">
        <v>39</v>
      </c>
      <c r="B93" t="s">
        <v>26</v>
      </c>
      <c r="C93" t="s">
        <v>27</v>
      </c>
      <c r="D93" t="s">
        <v>28</v>
      </c>
      <c r="E93" t="s">
        <v>61</v>
      </c>
      <c r="F93" t="s">
        <v>30</v>
      </c>
      <c r="G93" t="s">
        <v>31</v>
      </c>
      <c r="H93" t="s">
        <v>44</v>
      </c>
      <c r="I93" t="s">
        <v>99</v>
      </c>
      <c r="J93" t="s">
        <v>34</v>
      </c>
      <c r="K93" t="s">
        <v>34</v>
      </c>
      <c r="L93" t="s">
        <v>34</v>
      </c>
      <c r="M93" t="s">
        <v>34</v>
      </c>
      <c r="N93" t="s">
        <v>35</v>
      </c>
      <c r="O93" t="s">
        <v>84</v>
      </c>
      <c r="P93" t="s">
        <v>34</v>
      </c>
      <c r="Q93" t="s">
        <v>34</v>
      </c>
      <c r="R93" t="s">
        <v>63</v>
      </c>
      <c r="S93" t="s">
        <v>34</v>
      </c>
      <c r="T93" t="s">
        <v>34</v>
      </c>
      <c r="U93" t="s">
        <v>34</v>
      </c>
      <c r="V93" t="s">
        <v>35</v>
      </c>
      <c r="W93" t="s">
        <v>34</v>
      </c>
      <c r="X93" t="s">
        <v>64</v>
      </c>
      <c r="Y93" t="s">
        <v>34</v>
      </c>
    </row>
    <row r="94" spans="1:25">
      <c r="A94" s="1" t="s">
        <v>49</v>
      </c>
      <c r="B94" t="s">
        <v>50</v>
      </c>
      <c r="C94" t="s">
        <v>51</v>
      </c>
      <c r="D94" t="s">
        <v>75</v>
      </c>
      <c r="E94" t="s">
        <v>65</v>
      </c>
      <c r="F94" t="s">
        <v>77</v>
      </c>
      <c r="G94" t="s">
        <v>55</v>
      </c>
      <c r="H94" t="s">
        <v>56</v>
      </c>
      <c r="I94" t="s">
        <v>92</v>
      </c>
      <c r="J94" t="s">
        <v>35</v>
      </c>
      <c r="K94" t="s">
        <v>35</v>
      </c>
      <c r="L94" t="s">
        <v>35</v>
      </c>
      <c r="M94" t="s">
        <v>35</v>
      </c>
      <c r="N94" t="s">
        <v>34</v>
      </c>
      <c r="O94" t="s">
        <v>36</v>
      </c>
      <c r="P94" t="s">
        <v>35</v>
      </c>
      <c r="Q94" t="s">
        <v>35</v>
      </c>
      <c r="R94" t="s">
        <v>59</v>
      </c>
      <c r="S94" t="s">
        <v>35</v>
      </c>
      <c r="T94" t="s">
        <v>35</v>
      </c>
      <c r="U94" t="s">
        <v>35</v>
      </c>
      <c r="V94" t="s">
        <v>35</v>
      </c>
      <c r="W94" t="s">
        <v>35</v>
      </c>
      <c r="X94" t="s">
        <v>80</v>
      </c>
      <c r="Y94" t="s">
        <v>35</v>
      </c>
    </row>
    <row r="95" spans="1:25">
      <c r="A95" s="1" t="s">
        <v>25</v>
      </c>
      <c r="B95" t="s">
        <v>50</v>
      </c>
      <c r="C95" t="s">
        <v>27</v>
      </c>
      <c r="D95" t="s">
        <v>52</v>
      </c>
      <c r="E95" t="s">
        <v>70</v>
      </c>
      <c r="F95" t="s">
        <v>54</v>
      </c>
      <c r="G95" t="s">
        <v>55</v>
      </c>
      <c r="H95" t="s">
        <v>44</v>
      </c>
      <c r="I95" t="s">
        <v>97</v>
      </c>
      <c r="J95" t="s">
        <v>35</v>
      </c>
      <c r="K95" t="s">
        <v>35</v>
      </c>
      <c r="L95" t="s">
        <v>35</v>
      </c>
      <c r="M95" t="s">
        <v>34</v>
      </c>
      <c r="N95" t="s">
        <v>34</v>
      </c>
      <c r="O95" t="s">
        <v>58</v>
      </c>
      <c r="P95" t="s">
        <v>35</v>
      </c>
      <c r="Q95" t="s">
        <v>35</v>
      </c>
      <c r="R95" t="s">
        <v>37</v>
      </c>
      <c r="S95" t="s">
        <v>35</v>
      </c>
      <c r="T95" t="s">
        <v>35</v>
      </c>
      <c r="U95" t="s">
        <v>35</v>
      </c>
      <c r="V95" t="s">
        <v>35</v>
      </c>
      <c r="W95" t="s">
        <v>35</v>
      </c>
      <c r="X95" t="s">
        <v>89</v>
      </c>
      <c r="Y95" t="s">
        <v>35</v>
      </c>
    </row>
    <row r="96" spans="1:25">
      <c r="A96" s="1" t="s">
        <v>39</v>
      </c>
      <c r="B96" t="s">
        <v>26</v>
      </c>
      <c r="C96" t="s">
        <v>40</v>
      </c>
      <c r="D96" t="s">
        <v>28</v>
      </c>
      <c r="E96" t="s">
        <v>76</v>
      </c>
      <c r="F96" t="s">
        <v>42</v>
      </c>
      <c r="G96" t="s">
        <v>43</v>
      </c>
      <c r="H96" t="s">
        <v>32</v>
      </c>
      <c r="I96" t="s">
        <v>100</v>
      </c>
      <c r="J96" t="s">
        <v>34</v>
      </c>
      <c r="K96" t="s">
        <v>34</v>
      </c>
      <c r="L96" t="s">
        <v>35</v>
      </c>
      <c r="M96" t="s">
        <v>34</v>
      </c>
      <c r="N96" t="s">
        <v>35</v>
      </c>
      <c r="O96" t="s">
        <v>46</v>
      </c>
      <c r="P96" t="s">
        <v>35</v>
      </c>
      <c r="Q96" t="s">
        <v>35</v>
      </c>
      <c r="R96" t="s">
        <v>73</v>
      </c>
      <c r="S96" t="s">
        <v>35</v>
      </c>
      <c r="T96" t="s">
        <v>35</v>
      </c>
      <c r="U96" t="s">
        <v>35</v>
      </c>
      <c r="V96" t="s">
        <v>35</v>
      </c>
      <c r="W96" t="s">
        <v>35</v>
      </c>
      <c r="X96" t="s">
        <v>74</v>
      </c>
      <c r="Y96" t="s">
        <v>35</v>
      </c>
    </row>
    <row r="97" spans="1:25">
      <c r="A97" s="1" t="s">
        <v>49</v>
      </c>
      <c r="B97" t="s">
        <v>26</v>
      </c>
      <c r="C97" t="s">
        <v>51</v>
      </c>
      <c r="D97" t="s">
        <v>52</v>
      </c>
      <c r="E97" t="s">
        <v>82</v>
      </c>
      <c r="F97" t="s">
        <v>77</v>
      </c>
      <c r="G97" t="s">
        <v>55</v>
      </c>
      <c r="H97" t="s">
        <v>44</v>
      </c>
      <c r="I97" t="s">
        <v>57</v>
      </c>
      <c r="J97" t="s">
        <v>35</v>
      </c>
      <c r="K97" t="s">
        <v>35</v>
      </c>
      <c r="L97" t="s">
        <v>35</v>
      </c>
      <c r="M97" t="s">
        <v>35</v>
      </c>
      <c r="N97" t="s">
        <v>34</v>
      </c>
      <c r="O97" t="s">
        <v>93</v>
      </c>
      <c r="P97" t="s">
        <v>35</v>
      </c>
      <c r="Q97" t="s">
        <v>35</v>
      </c>
      <c r="R97" t="s">
        <v>59</v>
      </c>
      <c r="S97" t="s">
        <v>35</v>
      </c>
      <c r="T97" t="s">
        <v>35</v>
      </c>
      <c r="U97" t="s">
        <v>35</v>
      </c>
      <c r="V97" t="s">
        <v>35</v>
      </c>
      <c r="W97" t="s">
        <v>35</v>
      </c>
      <c r="X97" t="s">
        <v>80</v>
      </c>
      <c r="Y97" t="s">
        <v>35</v>
      </c>
    </row>
    <row r="98" spans="1:25">
      <c r="A98" s="1" t="s">
        <v>25</v>
      </c>
      <c r="B98" t="s">
        <v>26</v>
      </c>
      <c r="C98" t="s">
        <v>27</v>
      </c>
      <c r="D98" t="s">
        <v>28</v>
      </c>
      <c r="E98" t="s">
        <v>86</v>
      </c>
      <c r="F98" t="s">
        <v>30</v>
      </c>
      <c r="G98" t="s">
        <v>31</v>
      </c>
      <c r="H98" t="s">
        <v>32</v>
      </c>
      <c r="I98" t="s">
        <v>99</v>
      </c>
      <c r="J98" t="s">
        <v>34</v>
      </c>
      <c r="K98" t="s">
        <v>34</v>
      </c>
      <c r="L98" t="s">
        <v>34</v>
      </c>
      <c r="M98" t="s">
        <v>34</v>
      </c>
      <c r="N98" t="s">
        <v>35</v>
      </c>
      <c r="O98" t="s">
        <v>84</v>
      </c>
      <c r="P98" t="s">
        <v>34</v>
      </c>
      <c r="Q98" t="s">
        <v>34</v>
      </c>
      <c r="R98" t="s">
        <v>63</v>
      </c>
      <c r="S98" t="s">
        <v>34</v>
      </c>
      <c r="T98" t="s">
        <v>34</v>
      </c>
      <c r="U98" t="s">
        <v>34</v>
      </c>
      <c r="V98" t="s">
        <v>35</v>
      </c>
      <c r="W98" t="s">
        <v>34</v>
      </c>
      <c r="X98" t="s">
        <v>64</v>
      </c>
      <c r="Y98" t="s">
        <v>34</v>
      </c>
    </row>
    <row r="99" spans="1:25">
      <c r="A99" s="1" t="s">
        <v>39</v>
      </c>
      <c r="B99" t="s">
        <v>50</v>
      </c>
      <c r="C99" t="s">
        <v>27</v>
      </c>
      <c r="D99" t="s">
        <v>28</v>
      </c>
      <c r="E99" t="s">
        <v>29</v>
      </c>
      <c r="F99" t="s">
        <v>66</v>
      </c>
      <c r="G99" t="s">
        <v>43</v>
      </c>
      <c r="H99" t="s">
        <v>87</v>
      </c>
      <c r="I99" t="s">
        <v>98</v>
      </c>
      <c r="J99" t="s">
        <v>34</v>
      </c>
      <c r="K99" t="s">
        <v>35</v>
      </c>
      <c r="L99" t="s">
        <v>35</v>
      </c>
      <c r="M99" t="s">
        <v>34</v>
      </c>
      <c r="N99" t="s">
        <v>35</v>
      </c>
      <c r="O99" t="s">
        <v>68</v>
      </c>
      <c r="P99" t="s">
        <v>35</v>
      </c>
      <c r="Q99" t="s">
        <v>35</v>
      </c>
      <c r="R99" t="s">
        <v>37</v>
      </c>
      <c r="S99" t="s">
        <v>35</v>
      </c>
      <c r="T99" t="s">
        <v>35</v>
      </c>
      <c r="U99" t="s">
        <v>35</v>
      </c>
      <c r="V99" t="s">
        <v>35</v>
      </c>
      <c r="W99" t="s">
        <v>35</v>
      </c>
      <c r="X99" t="s">
        <v>48</v>
      </c>
      <c r="Y99" t="s">
        <v>35</v>
      </c>
    </row>
    <row r="100" spans="1:25">
      <c r="A100" s="1" t="s">
        <v>49</v>
      </c>
      <c r="B100" t="s">
        <v>26</v>
      </c>
      <c r="C100" t="s">
        <v>51</v>
      </c>
      <c r="D100" t="s">
        <v>75</v>
      </c>
      <c r="E100" t="s">
        <v>41</v>
      </c>
      <c r="F100" t="s">
        <v>54</v>
      </c>
      <c r="G100" t="s">
        <v>55</v>
      </c>
      <c r="H100" t="s">
        <v>56</v>
      </c>
      <c r="I100" t="s">
        <v>57</v>
      </c>
      <c r="J100" t="s">
        <v>35</v>
      </c>
      <c r="K100" t="s">
        <v>35</v>
      </c>
      <c r="L100" t="s">
        <v>35</v>
      </c>
      <c r="M100" t="s">
        <v>35</v>
      </c>
      <c r="N100" t="s">
        <v>34</v>
      </c>
      <c r="O100" t="s">
        <v>79</v>
      </c>
      <c r="P100" t="s">
        <v>35</v>
      </c>
      <c r="Q100" t="s">
        <v>35</v>
      </c>
      <c r="R100" t="s">
        <v>59</v>
      </c>
      <c r="S100" t="s">
        <v>35</v>
      </c>
      <c r="T100" t="s">
        <v>35</v>
      </c>
      <c r="U100" t="s">
        <v>35</v>
      </c>
      <c r="V100" t="s">
        <v>35</v>
      </c>
      <c r="W100" t="s">
        <v>35</v>
      </c>
      <c r="X100" t="s">
        <v>80</v>
      </c>
      <c r="Y100" t="s">
        <v>35</v>
      </c>
    </row>
    <row r="101" spans="1:25">
      <c r="A101" s="1" t="s">
        <v>25</v>
      </c>
      <c r="B101" t="s">
        <v>26</v>
      </c>
      <c r="C101" t="s">
        <v>40</v>
      </c>
      <c r="D101" t="s">
        <v>28</v>
      </c>
      <c r="E101" t="s">
        <v>53</v>
      </c>
      <c r="F101" t="s">
        <v>42</v>
      </c>
      <c r="G101" t="s">
        <v>43</v>
      </c>
      <c r="H101" t="s">
        <v>32</v>
      </c>
      <c r="I101" t="s">
        <v>101</v>
      </c>
      <c r="J101" t="s">
        <v>34</v>
      </c>
      <c r="K101" t="s">
        <v>34</v>
      </c>
      <c r="L101" t="s">
        <v>35</v>
      </c>
      <c r="M101" t="s">
        <v>34</v>
      </c>
      <c r="N101" t="s">
        <v>35</v>
      </c>
      <c r="O101" t="s">
        <v>72</v>
      </c>
      <c r="P101" t="s">
        <v>35</v>
      </c>
      <c r="Q101" t="s">
        <v>35</v>
      </c>
      <c r="R101" t="s">
        <v>47</v>
      </c>
      <c r="S101" t="s">
        <v>35</v>
      </c>
      <c r="T101" t="s">
        <v>35</v>
      </c>
      <c r="U101" t="s">
        <v>35</v>
      </c>
      <c r="V101" t="s">
        <v>35</v>
      </c>
      <c r="W101" t="s">
        <v>35</v>
      </c>
      <c r="X101" t="s">
        <v>91</v>
      </c>
      <c r="Y101" t="s">
        <v>35</v>
      </c>
    </row>
    <row r="102" spans="1:25">
      <c r="A102" s="1" t="s">
        <v>39</v>
      </c>
      <c r="B102" t="s">
        <v>26</v>
      </c>
      <c r="C102" t="s">
        <v>27</v>
      </c>
      <c r="D102" t="s">
        <v>28</v>
      </c>
      <c r="E102" t="s">
        <v>29</v>
      </c>
      <c r="F102" t="s">
        <v>30</v>
      </c>
      <c r="G102" t="s">
        <v>31</v>
      </c>
      <c r="H102" t="s">
        <v>32</v>
      </c>
      <c r="I102" t="s">
        <v>33</v>
      </c>
      <c r="J102" t="s">
        <v>34</v>
      </c>
      <c r="K102" t="s">
        <v>34</v>
      </c>
      <c r="L102" t="s">
        <v>34</v>
      </c>
      <c r="M102" t="s">
        <v>34</v>
      </c>
      <c r="N102" t="s">
        <v>35</v>
      </c>
      <c r="O102" t="s">
        <v>105</v>
      </c>
      <c r="P102" t="s">
        <v>34</v>
      </c>
      <c r="Q102" t="s">
        <v>34</v>
      </c>
      <c r="R102" t="s">
        <v>63</v>
      </c>
      <c r="S102" t="s">
        <v>34</v>
      </c>
      <c r="T102" t="s">
        <v>34</v>
      </c>
      <c r="U102" t="s">
        <v>34</v>
      </c>
      <c r="V102" t="s">
        <v>35</v>
      </c>
      <c r="W102" t="s">
        <v>34</v>
      </c>
      <c r="X102" t="s">
        <v>64</v>
      </c>
      <c r="Y102" t="s">
        <v>34</v>
      </c>
    </row>
    <row r="103" spans="1:25">
      <c r="A103" s="1" t="s">
        <v>25</v>
      </c>
      <c r="B103" t="s">
        <v>50</v>
      </c>
      <c r="C103" t="s">
        <v>51</v>
      </c>
      <c r="D103" t="s">
        <v>52</v>
      </c>
      <c r="E103" t="s">
        <v>41</v>
      </c>
      <c r="F103" t="s">
        <v>54</v>
      </c>
      <c r="G103" t="s">
        <v>55</v>
      </c>
      <c r="H103" t="s">
        <v>44</v>
      </c>
      <c r="I103" t="s">
        <v>57</v>
      </c>
      <c r="J103" t="s">
        <v>35</v>
      </c>
      <c r="K103" t="s">
        <v>35</v>
      </c>
      <c r="L103" t="s">
        <v>35</v>
      </c>
      <c r="M103" t="s">
        <v>34</v>
      </c>
      <c r="N103" t="s">
        <v>34</v>
      </c>
      <c r="O103" t="s">
        <v>79</v>
      </c>
      <c r="P103" t="s">
        <v>35</v>
      </c>
      <c r="Q103" t="s">
        <v>35</v>
      </c>
      <c r="R103" t="s">
        <v>37</v>
      </c>
      <c r="S103" t="s">
        <v>35</v>
      </c>
      <c r="T103" t="s">
        <v>35</v>
      </c>
      <c r="U103" t="s">
        <v>35</v>
      </c>
      <c r="V103" t="s">
        <v>35</v>
      </c>
      <c r="W103" t="s">
        <v>35</v>
      </c>
      <c r="X103" t="s">
        <v>60</v>
      </c>
      <c r="Y103" t="s">
        <v>35</v>
      </c>
    </row>
    <row r="104" spans="1:25">
      <c r="A104" s="1" t="s">
        <v>49</v>
      </c>
      <c r="B104" t="s">
        <v>26</v>
      </c>
      <c r="C104" t="s">
        <v>27</v>
      </c>
      <c r="D104" t="s">
        <v>75</v>
      </c>
      <c r="E104" t="s">
        <v>53</v>
      </c>
      <c r="F104" t="s">
        <v>77</v>
      </c>
      <c r="G104" t="s">
        <v>55</v>
      </c>
      <c r="H104" t="s">
        <v>87</v>
      </c>
      <c r="I104" t="s">
        <v>78</v>
      </c>
      <c r="J104" t="s">
        <v>35</v>
      </c>
      <c r="K104" t="s">
        <v>35</v>
      </c>
      <c r="L104" t="s">
        <v>35</v>
      </c>
      <c r="M104" t="s">
        <v>35</v>
      </c>
      <c r="N104" t="s">
        <v>34</v>
      </c>
      <c r="O104" t="s">
        <v>106</v>
      </c>
      <c r="P104" t="s">
        <v>35</v>
      </c>
      <c r="Q104" t="s">
        <v>35</v>
      </c>
      <c r="R104" t="s">
        <v>59</v>
      </c>
      <c r="S104" t="s">
        <v>35</v>
      </c>
      <c r="T104" t="s">
        <v>35</v>
      </c>
      <c r="U104" t="s">
        <v>35</v>
      </c>
      <c r="V104" t="s">
        <v>35</v>
      </c>
      <c r="W104" t="s">
        <v>35</v>
      </c>
      <c r="X104" t="s">
        <v>80</v>
      </c>
      <c r="Y104" t="s">
        <v>35</v>
      </c>
    </row>
    <row r="105" spans="1:25">
      <c r="A105" s="1" t="s">
        <v>81</v>
      </c>
      <c r="B105" t="s">
        <v>26</v>
      </c>
      <c r="C105" t="s">
        <v>40</v>
      </c>
      <c r="D105" t="s">
        <v>28</v>
      </c>
      <c r="E105" t="s">
        <v>61</v>
      </c>
      <c r="F105" t="s">
        <v>42</v>
      </c>
      <c r="G105" t="s">
        <v>43</v>
      </c>
      <c r="H105" t="s">
        <v>32</v>
      </c>
      <c r="I105" t="s">
        <v>98</v>
      </c>
      <c r="J105" t="s">
        <v>34</v>
      </c>
      <c r="K105" t="s">
        <v>34</v>
      </c>
      <c r="L105" t="s">
        <v>35</v>
      </c>
      <c r="M105" t="s">
        <v>34</v>
      </c>
      <c r="N105" t="s">
        <v>35</v>
      </c>
      <c r="O105" t="s">
        <v>105</v>
      </c>
      <c r="P105" t="s">
        <v>35</v>
      </c>
      <c r="Q105" t="s">
        <v>34</v>
      </c>
      <c r="R105" t="s">
        <v>63</v>
      </c>
      <c r="S105" t="s">
        <v>34</v>
      </c>
      <c r="T105" t="s">
        <v>34</v>
      </c>
      <c r="U105" t="s">
        <v>34</v>
      </c>
      <c r="V105" t="s">
        <v>35</v>
      </c>
      <c r="W105" t="s">
        <v>34</v>
      </c>
      <c r="X105" t="s">
        <v>74</v>
      </c>
      <c r="Y105" t="s">
        <v>34</v>
      </c>
    </row>
    <row r="106" spans="1:25">
      <c r="A106" s="1" t="s">
        <v>25</v>
      </c>
      <c r="B106" t="s">
        <v>26</v>
      </c>
      <c r="C106" t="s">
        <v>27</v>
      </c>
      <c r="D106" t="s">
        <v>28</v>
      </c>
      <c r="E106" t="s">
        <v>65</v>
      </c>
      <c r="F106" t="s">
        <v>30</v>
      </c>
      <c r="G106" t="s">
        <v>31</v>
      </c>
      <c r="H106" t="s">
        <v>44</v>
      </c>
      <c r="I106" t="s">
        <v>33</v>
      </c>
      <c r="J106" t="s">
        <v>34</v>
      </c>
      <c r="K106" t="s">
        <v>34</v>
      </c>
      <c r="L106" t="s">
        <v>34</v>
      </c>
      <c r="M106" t="s">
        <v>34</v>
      </c>
      <c r="N106" t="s">
        <v>35</v>
      </c>
      <c r="O106" t="s">
        <v>84</v>
      </c>
      <c r="P106" t="s">
        <v>34</v>
      </c>
      <c r="Q106" t="s">
        <v>34</v>
      </c>
      <c r="R106" t="s">
        <v>63</v>
      </c>
      <c r="S106" t="s">
        <v>34</v>
      </c>
      <c r="T106" t="s">
        <v>34</v>
      </c>
      <c r="U106" t="s">
        <v>34</v>
      </c>
      <c r="V106" t="s">
        <v>35</v>
      </c>
      <c r="W106" t="s">
        <v>34</v>
      </c>
      <c r="X106" t="s">
        <v>96</v>
      </c>
      <c r="Y106" t="s">
        <v>34</v>
      </c>
    </row>
    <row r="107" spans="1:25">
      <c r="A107" s="1" t="s">
        <v>39</v>
      </c>
      <c r="B107" t="s">
        <v>50</v>
      </c>
      <c r="C107" t="s">
        <v>51</v>
      </c>
      <c r="D107" t="s">
        <v>28</v>
      </c>
      <c r="E107" t="s">
        <v>70</v>
      </c>
      <c r="F107" t="s">
        <v>66</v>
      </c>
      <c r="G107" t="s">
        <v>43</v>
      </c>
      <c r="H107" t="s">
        <v>56</v>
      </c>
      <c r="I107" t="s">
        <v>90</v>
      </c>
      <c r="J107" t="s">
        <v>34</v>
      </c>
      <c r="K107" t="s">
        <v>35</v>
      </c>
      <c r="L107" t="s">
        <v>35</v>
      </c>
      <c r="M107" t="s">
        <v>34</v>
      </c>
      <c r="N107" t="s">
        <v>35</v>
      </c>
      <c r="O107" t="s">
        <v>68</v>
      </c>
      <c r="P107" t="s">
        <v>35</v>
      </c>
      <c r="Q107" t="s">
        <v>35</v>
      </c>
      <c r="R107" t="s">
        <v>37</v>
      </c>
      <c r="S107" t="s">
        <v>35</v>
      </c>
      <c r="T107" t="s">
        <v>35</v>
      </c>
      <c r="U107" t="s">
        <v>35</v>
      </c>
      <c r="V107" t="s">
        <v>35</v>
      </c>
      <c r="W107" t="s">
        <v>35</v>
      </c>
      <c r="X107" t="s">
        <v>107</v>
      </c>
      <c r="Y107" t="s">
        <v>35</v>
      </c>
    </row>
    <row r="108" spans="1:25">
      <c r="A108" s="1" t="s">
        <v>49</v>
      </c>
      <c r="B108" t="s">
        <v>50</v>
      </c>
      <c r="C108" t="s">
        <v>51</v>
      </c>
      <c r="D108" t="s">
        <v>52</v>
      </c>
      <c r="E108" t="s">
        <v>76</v>
      </c>
      <c r="F108" t="s">
        <v>77</v>
      </c>
      <c r="G108" t="s">
        <v>55</v>
      </c>
      <c r="H108" t="s">
        <v>44</v>
      </c>
      <c r="I108" t="s">
        <v>92</v>
      </c>
      <c r="J108" t="s">
        <v>35</v>
      </c>
      <c r="K108" t="s">
        <v>35</v>
      </c>
      <c r="L108" t="s">
        <v>35</v>
      </c>
      <c r="M108" t="s">
        <v>35</v>
      </c>
      <c r="N108" t="s">
        <v>34</v>
      </c>
      <c r="O108" t="s">
        <v>93</v>
      </c>
      <c r="P108" t="s">
        <v>35</v>
      </c>
      <c r="Q108" t="s">
        <v>35</v>
      </c>
      <c r="R108" t="s">
        <v>59</v>
      </c>
      <c r="S108" t="s">
        <v>35</v>
      </c>
      <c r="T108" t="s">
        <v>35</v>
      </c>
      <c r="U108" t="s">
        <v>35</v>
      </c>
      <c r="V108" t="s">
        <v>35</v>
      </c>
      <c r="W108" t="s">
        <v>35</v>
      </c>
      <c r="X108" t="s">
        <v>80</v>
      </c>
      <c r="Y108" t="s">
        <v>35</v>
      </c>
    </row>
    <row r="109" spans="1:25">
      <c r="A109" s="1" t="s">
        <v>25</v>
      </c>
      <c r="B109" t="s">
        <v>26</v>
      </c>
      <c r="C109" t="s">
        <v>40</v>
      </c>
      <c r="D109" t="s">
        <v>28</v>
      </c>
      <c r="E109" t="s">
        <v>82</v>
      </c>
      <c r="F109" t="s">
        <v>42</v>
      </c>
      <c r="G109" t="s">
        <v>43</v>
      </c>
      <c r="H109" t="s">
        <v>32</v>
      </c>
      <c r="I109" t="s">
        <v>71</v>
      </c>
      <c r="J109" t="s">
        <v>34</v>
      </c>
      <c r="K109" t="s">
        <v>34</v>
      </c>
      <c r="L109" t="s">
        <v>35</v>
      </c>
      <c r="M109" t="s">
        <v>34</v>
      </c>
      <c r="N109" t="s">
        <v>35</v>
      </c>
      <c r="O109" t="s">
        <v>72</v>
      </c>
      <c r="P109" t="s">
        <v>35</v>
      </c>
      <c r="Q109" t="s">
        <v>35</v>
      </c>
      <c r="R109" t="s">
        <v>73</v>
      </c>
      <c r="S109" t="s">
        <v>35</v>
      </c>
      <c r="T109" t="s">
        <v>35</v>
      </c>
      <c r="U109" t="s">
        <v>35</v>
      </c>
      <c r="V109" t="s">
        <v>35</v>
      </c>
      <c r="W109" t="s">
        <v>35</v>
      </c>
      <c r="X109" t="s">
        <v>74</v>
      </c>
      <c r="Y109" t="s">
        <v>35</v>
      </c>
    </row>
    <row r="110" spans="1:25">
      <c r="A110" s="1" t="s">
        <v>39</v>
      </c>
      <c r="B110" t="s">
        <v>26</v>
      </c>
      <c r="C110" t="s">
        <v>27</v>
      </c>
      <c r="D110" t="s">
        <v>28</v>
      </c>
      <c r="E110" t="s">
        <v>86</v>
      </c>
      <c r="F110" t="s">
        <v>30</v>
      </c>
      <c r="G110" t="s">
        <v>31</v>
      </c>
      <c r="H110" t="s">
        <v>32</v>
      </c>
      <c r="I110" t="s">
        <v>99</v>
      </c>
      <c r="J110" t="s">
        <v>34</v>
      </c>
      <c r="K110" t="s">
        <v>34</v>
      </c>
      <c r="L110" t="s">
        <v>34</v>
      </c>
      <c r="M110" t="s">
        <v>34</v>
      </c>
      <c r="N110" t="s">
        <v>35</v>
      </c>
      <c r="O110" t="s">
        <v>84</v>
      </c>
      <c r="P110" t="s">
        <v>34</v>
      </c>
      <c r="Q110" t="s">
        <v>34</v>
      </c>
      <c r="R110" t="s">
        <v>63</v>
      </c>
      <c r="S110" t="s">
        <v>34</v>
      </c>
      <c r="T110" t="s">
        <v>34</v>
      </c>
      <c r="U110" t="s">
        <v>34</v>
      </c>
      <c r="V110" t="s">
        <v>35</v>
      </c>
      <c r="W110" t="s">
        <v>34</v>
      </c>
      <c r="X110" t="s">
        <v>64</v>
      </c>
      <c r="Y110" t="s">
        <v>34</v>
      </c>
    </row>
    <row r="111" spans="1:25">
      <c r="A111" s="1" t="s">
        <v>49</v>
      </c>
      <c r="B111" t="s">
        <v>50</v>
      </c>
      <c r="C111" t="s">
        <v>51</v>
      </c>
      <c r="D111" t="s">
        <v>75</v>
      </c>
      <c r="E111" t="s">
        <v>29</v>
      </c>
      <c r="F111" t="s">
        <v>54</v>
      </c>
      <c r="G111" t="s">
        <v>55</v>
      </c>
      <c r="H111" t="s">
        <v>56</v>
      </c>
      <c r="I111" t="s">
        <v>97</v>
      </c>
      <c r="J111" t="s">
        <v>35</v>
      </c>
      <c r="K111" t="s">
        <v>35</v>
      </c>
      <c r="L111" t="s">
        <v>35</v>
      </c>
      <c r="M111" t="s">
        <v>35</v>
      </c>
      <c r="N111" t="s">
        <v>34</v>
      </c>
      <c r="O111" t="s">
        <v>79</v>
      </c>
      <c r="P111" t="s">
        <v>35</v>
      </c>
      <c r="Q111" t="s">
        <v>35</v>
      </c>
      <c r="R111" t="s">
        <v>37</v>
      </c>
      <c r="S111" t="s">
        <v>35</v>
      </c>
      <c r="T111" t="s">
        <v>35</v>
      </c>
      <c r="U111" t="s">
        <v>35</v>
      </c>
      <c r="V111" t="s">
        <v>35</v>
      </c>
      <c r="W111" t="s">
        <v>35</v>
      </c>
      <c r="X111" t="s">
        <v>60</v>
      </c>
      <c r="Y111" t="s">
        <v>35</v>
      </c>
    </row>
    <row r="112" spans="1:25">
      <c r="A112" s="1" t="s">
        <v>25</v>
      </c>
      <c r="B112" t="s">
        <v>26</v>
      </c>
      <c r="C112" t="s">
        <v>27</v>
      </c>
      <c r="D112" t="s">
        <v>28</v>
      </c>
      <c r="E112" t="s">
        <v>41</v>
      </c>
      <c r="F112" t="s">
        <v>30</v>
      </c>
      <c r="G112" t="s">
        <v>31</v>
      </c>
      <c r="H112" t="s">
        <v>44</v>
      </c>
      <c r="I112" t="s">
        <v>95</v>
      </c>
      <c r="J112" t="s">
        <v>34</v>
      </c>
      <c r="K112" t="s">
        <v>34</v>
      </c>
      <c r="L112" t="s">
        <v>34</v>
      </c>
      <c r="M112" t="s">
        <v>34</v>
      </c>
      <c r="N112" t="s">
        <v>35</v>
      </c>
      <c r="O112" t="s">
        <v>84</v>
      </c>
      <c r="P112" t="s">
        <v>34</v>
      </c>
      <c r="Q112" t="s">
        <v>34</v>
      </c>
      <c r="R112" t="s">
        <v>63</v>
      </c>
      <c r="S112" t="s">
        <v>34</v>
      </c>
      <c r="T112" t="s">
        <v>34</v>
      </c>
      <c r="U112" t="s">
        <v>34</v>
      </c>
      <c r="V112" t="s">
        <v>35</v>
      </c>
      <c r="W112" t="s">
        <v>34</v>
      </c>
      <c r="X112" t="s">
        <v>64</v>
      </c>
      <c r="Y112" t="s">
        <v>34</v>
      </c>
    </row>
    <row r="113" spans="1:25">
      <c r="A113" s="1" t="s">
        <v>39</v>
      </c>
      <c r="B113" t="s">
        <v>50</v>
      </c>
      <c r="C113" t="s">
        <v>40</v>
      </c>
      <c r="D113" t="s">
        <v>28</v>
      </c>
      <c r="E113" t="s">
        <v>53</v>
      </c>
      <c r="F113" t="s">
        <v>66</v>
      </c>
      <c r="G113" t="s">
        <v>43</v>
      </c>
      <c r="H113" t="s">
        <v>87</v>
      </c>
      <c r="I113" t="s">
        <v>98</v>
      </c>
      <c r="J113" t="s">
        <v>34</v>
      </c>
      <c r="K113" t="s">
        <v>35</v>
      </c>
      <c r="L113" t="s">
        <v>35</v>
      </c>
      <c r="M113" t="s">
        <v>34</v>
      </c>
      <c r="N113" t="s">
        <v>35</v>
      </c>
      <c r="O113" t="s">
        <v>68</v>
      </c>
      <c r="P113" t="s">
        <v>35</v>
      </c>
      <c r="Q113" t="s">
        <v>35</v>
      </c>
      <c r="R113" t="s">
        <v>47</v>
      </c>
      <c r="S113" t="s">
        <v>35</v>
      </c>
      <c r="T113" t="s">
        <v>35</v>
      </c>
      <c r="U113" t="s">
        <v>35</v>
      </c>
      <c r="V113" t="s">
        <v>35</v>
      </c>
      <c r="W113" t="s">
        <v>35</v>
      </c>
      <c r="X113" t="s">
        <v>74</v>
      </c>
      <c r="Y113" t="s">
        <v>35</v>
      </c>
    </row>
    <row r="114" spans="1:25">
      <c r="A114" s="1" t="s">
        <v>49</v>
      </c>
      <c r="B114" t="s">
        <v>26</v>
      </c>
      <c r="C114" t="s">
        <v>51</v>
      </c>
      <c r="D114" t="s">
        <v>52</v>
      </c>
      <c r="E114" t="s">
        <v>61</v>
      </c>
      <c r="F114" t="s">
        <v>77</v>
      </c>
      <c r="G114" t="s">
        <v>55</v>
      </c>
      <c r="H114" t="s">
        <v>44</v>
      </c>
      <c r="I114" t="s">
        <v>57</v>
      </c>
      <c r="J114" t="s">
        <v>35</v>
      </c>
      <c r="K114" t="s">
        <v>35</v>
      </c>
      <c r="L114" t="s">
        <v>35</v>
      </c>
      <c r="M114" t="s">
        <v>35</v>
      </c>
      <c r="N114" t="s">
        <v>34</v>
      </c>
      <c r="O114" t="s">
        <v>36</v>
      </c>
      <c r="P114" t="s">
        <v>35</v>
      </c>
      <c r="Q114" t="s">
        <v>35</v>
      </c>
      <c r="R114" t="s">
        <v>59</v>
      </c>
      <c r="S114" t="s">
        <v>35</v>
      </c>
      <c r="T114" t="s">
        <v>35</v>
      </c>
      <c r="U114" t="s">
        <v>35</v>
      </c>
      <c r="V114" t="s">
        <v>35</v>
      </c>
      <c r="W114" t="s">
        <v>35</v>
      </c>
      <c r="X114" t="s">
        <v>80</v>
      </c>
      <c r="Y114" t="s">
        <v>35</v>
      </c>
    </row>
    <row r="115" spans="1:25">
      <c r="A115" s="1" t="s">
        <v>81</v>
      </c>
      <c r="B115" t="s">
        <v>26</v>
      </c>
      <c r="C115" t="s">
        <v>27</v>
      </c>
      <c r="D115" t="s">
        <v>28</v>
      </c>
      <c r="E115" t="s">
        <v>65</v>
      </c>
      <c r="F115" t="s">
        <v>30</v>
      </c>
      <c r="G115" t="s">
        <v>31</v>
      </c>
      <c r="H115" t="s">
        <v>32</v>
      </c>
      <c r="I115" t="s">
        <v>83</v>
      </c>
      <c r="J115" t="s">
        <v>34</v>
      </c>
      <c r="K115" t="s">
        <v>34</v>
      </c>
      <c r="L115" t="s">
        <v>34</v>
      </c>
      <c r="M115" t="s">
        <v>34</v>
      </c>
      <c r="N115" t="s">
        <v>35</v>
      </c>
      <c r="O115" t="s">
        <v>84</v>
      </c>
      <c r="P115" t="s">
        <v>34</v>
      </c>
      <c r="Q115" t="s">
        <v>34</v>
      </c>
      <c r="R115" t="s">
        <v>63</v>
      </c>
      <c r="S115" t="s">
        <v>34</v>
      </c>
      <c r="T115" t="s">
        <v>34</v>
      </c>
      <c r="U115" t="s">
        <v>34</v>
      </c>
      <c r="V115" t="s">
        <v>35</v>
      </c>
      <c r="W115" t="s">
        <v>34</v>
      </c>
      <c r="X115" t="s">
        <v>64</v>
      </c>
      <c r="Y115" t="s">
        <v>34</v>
      </c>
    </row>
    <row r="116" spans="1:25">
      <c r="A116" s="1" t="s">
        <v>25</v>
      </c>
      <c r="B116" t="s">
        <v>50</v>
      </c>
      <c r="C116" t="s">
        <v>27</v>
      </c>
      <c r="D116" t="s">
        <v>52</v>
      </c>
      <c r="E116" t="s">
        <v>70</v>
      </c>
      <c r="F116" t="s">
        <v>54</v>
      </c>
      <c r="G116" t="s">
        <v>55</v>
      </c>
      <c r="H116" t="s">
        <v>44</v>
      </c>
      <c r="I116" t="s">
        <v>57</v>
      </c>
      <c r="J116" t="s">
        <v>35</v>
      </c>
      <c r="K116" t="s">
        <v>35</v>
      </c>
      <c r="L116" t="s">
        <v>35</v>
      </c>
      <c r="M116" t="s">
        <v>34</v>
      </c>
      <c r="N116" t="s">
        <v>34</v>
      </c>
      <c r="O116" t="s">
        <v>58</v>
      </c>
      <c r="P116" t="s">
        <v>35</v>
      </c>
      <c r="Q116" t="s">
        <v>35</v>
      </c>
      <c r="R116" t="s">
        <v>37</v>
      </c>
      <c r="S116" t="s">
        <v>35</v>
      </c>
      <c r="T116" t="s">
        <v>35</v>
      </c>
      <c r="U116" t="s">
        <v>35</v>
      </c>
      <c r="V116" t="s">
        <v>35</v>
      </c>
      <c r="W116" t="s">
        <v>35</v>
      </c>
      <c r="X116" t="s">
        <v>89</v>
      </c>
      <c r="Y116" t="s">
        <v>35</v>
      </c>
    </row>
    <row r="117" spans="1:25">
      <c r="A117" s="1"/>
    </row>
    <row r="118" spans="1:25">
      <c r="A118" s="1"/>
    </row>
    <row r="119" spans="1:25">
      <c r="A119" s="1"/>
    </row>
    <row r="120" spans="1:25">
      <c r="A120" s="1"/>
    </row>
    <row r="121" spans="1:25">
      <c r="A121" s="1"/>
    </row>
    <row r="122" spans="1:25">
      <c r="A122" s="1"/>
    </row>
    <row r="123" spans="1:25">
      <c r="A123" s="1"/>
    </row>
    <row r="124" spans="1:25">
      <c r="A124" s="1"/>
    </row>
    <row r="125" spans="1:25">
      <c r="A125" s="1"/>
    </row>
    <row r="126" spans="1:25">
      <c r="A126" s="1"/>
    </row>
    <row r="127" spans="1:25">
      <c r="A127" s="1"/>
    </row>
    <row r="128" spans="1:25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DB080-CCB0-084B-8E36-84B9DC3514A8}">
  <dimension ref="A1:M118"/>
  <sheetViews>
    <sheetView topLeftCell="C1" workbookViewId="0">
      <selection activeCell="M14" sqref="M14"/>
    </sheetView>
  </sheetViews>
  <sheetFormatPr baseColWidth="10" defaultRowHeight="16"/>
  <cols>
    <col min="1" max="1" width="56" bestFit="1" customWidth="1"/>
    <col min="2" max="2" width="22.6640625" bestFit="1" customWidth="1"/>
    <col min="4" max="4" width="16" bestFit="1" customWidth="1"/>
    <col min="5" max="5" width="22.6640625" bestFit="1" customWidth="1"/>
    <col min="6" max="6" width="14.1640625" bestFit="1" customWidth="1"/>
    <col min="7" max="7" width="15.1640625" bestFit="1" customWidth="1"/>
    <col min="8" max="8" width="15.6640625" bestFit="1" customWidth="1"/>
    <col min="11" max="11" width="57.6640625" bestFit="1" customWidth="1"/>
  </cols>
  <sheetData>
    <row r="1" spans="1:13">
      <c r="A1" s="1" t="s">
        <v>8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K1" s="3" t="s">
        <v>8</v>
      </c>
      <c r="L1" s="3" t="s">
        <v>120</v>
      </c>
      <c r="M1" s="3" t="s">
        <v>115</v>
      </c>
    </row>
    <row r="2" spans="1:13" ht="17">
      <c r="A2" s="1" t="s">
        <v>33</v>
      </c>
      <c r="B2" s="1">
        <f>IF(ISNUMBER(SEARCH("Middlemen control",A2)),1,0)</f>
        <v>1</v>
      </c>
      <c r="C2">
        <f>IF(ISNUMBER(SEARCH("Low price",A2)),1,0)</f>
        <v>1</v>
      </c>
      <c r="D2">
        <f>IF(ISNUMBER(SEARCH("Delayed payments",A2)),1,0)</f>
        <v>0</v>
      </c>
      <c r="E2">
        <f>IF(ISNUMBER(SEARCH("Lack of market information",A2)),1,0)</f>
        <v>0</v>
      </c>
      <c r="F2">
        <f>IF(ISNUMBER(SEARCH("Transport issues",A2)),1,0)</f>
        <v>1</v>
      </c>
      <c r="G2">
        <f>IF(ISNUMBER(SEARCH("Storage problems",A2)),1,0)</f>
        <v>0</v>
      </c>
      <c r="H2">
        <f>IF(ISNUMBER(SEARCH("Lack of awareness",A2)),1,0)</f>
        <v>0</v>
      </c>
      <c r="K2" s="1" t="s">
        <v>108</v>
      </c>
      <c r="L2" s="4">
        <f>B117</f>
        <v>32</v>
      </c>
      <c r="M2" s="7">
        <f>B117/115*100</f>
        <v>27.826086956521738</v>
      </c>
    </row>
    <row r="3" spans="1:13" ht="17">
      <c r="A3" s="1" t="s">
        <v>45</v>
      </c>
      <c r="B3" s="1">
        <f t="shared" ref="B3:B66" si="0">IF(ISNUMBER(SEARCH("Middlemen control",A3)),1,0)</f>
        <v>0</v>
      </c>
      <c r="C3">
        <f t="shared" ref="C3:C66" si="1">IF(ISNUMBER(SEARCH("Low price",A3)),1,0)</f>
        <v>1</v>
      </c>
      <c r="D3">
        <f t="shared" ref="D3:D66" si="2">IF(ISNUMBER(SEARCH("Delayed payments",A3)),1,0)</f>
        <v>1</v>
      </c>
      <c r="E3">
        <f t="shared" ref="E3:E66" si="3">IF(ISNUMBER(SEARCH("Lack of market information",A3)),1,0)</f>
        <v>0</v>
      </c>
      <c r="F3">
        <f t="shared" ref="F3:F66" si="4">IF(ISNUMBER(SEARCH("Transport issues",A3)),1,0)</f>
        <v>0</v>
      </c>
      <c r="G3">
        <f t="shared" ref="G3:G66" si="5">IF(ISNUMBER(SEARCH("Storage problems",A3)),1,0)</f>
        <v>1</v>
      </c>
      <c r="H3">
        <f t="shared" ref="H3:H66" si="6">IF(ISNUMBER(SEARCH("Lack of awareness",A3)),1,0)</f>
        <v>0</v>
      </c>
      <c r="K3" s="1" t="s">
        <v>109</v>
      </c>
      <c r="L3" s="4">
        <f>C117</f>
        <v>53</v>
      </c>
      <c r="M3" s="4">
        <f>C117/115*100</f>
        <v>46.086956521739133</v>
      </c>
    </row>
    <row r="4" spans="1:13" ht="17">
      <c r="A4" s="1" t="s">
        <v>57</v>
      </c>
      <c r="B4" s="1">
        <f t="shared" si="0"/>
        <v>0</v>
      </c>
      <c r="C4">
        <f t="shared" si="1"/>
        <v>0</v>
      </c>
      <c r="D4">
        <f t="shared" si="2"/>
        <v>0</v>
      </c>
      <c r="E4">
        <f t="shared" si="3"/>
        <v>0</v>
      </c>
      <c r="F4">
        <f t="shared" si="4"/>
        <v>1</v>
      </c>
      <c r="G4">
        <f t="shared" si="5"/>
        <v>0</v>
      </c>
      <c r="H4">
        <f t="shared" si="6"/>
        <v>1</v>
      </c>
      <c r="K4" s="1" t="s">
        <v>110</v>
      </c>
      <c r="L4" s="4">
        <f>D117</f>
        <v>25</v>
      </c>
      <c r="M4" s="4">
        <f>D117/115*100</f>
        <v>21.739130434782609</v>
      </c>
    </row>
    <row r="5" spans="1:13" ht="17">
      <c r="A5" s="1" t="s">
        <v>62</v>
      </c>
      <c r="B5" s="1">
        <f t="shared" si="0"/>
        <v>1</v>
      </c>
      <c r="C5">
        <f t="shared" si="1"/>
        <v>1</v>
      </c>
      <c r="D5">
        <f t="shared" si="2"/>
        <v>1</v>
      </c>
      <c r="E5">
        <f t="shared" si="3"/>
        <v>0</v>
      </c>
      <c r="F5">
        <f t="shared" si="4"/>
        <v>0</v>
      </c>
      <c r="G5">
        <f t="shared" si="5"/>
        <v>0</v>
      </c>
      <c r="H5">
        <f t="shared" si="6"/>
        <v>0</v>
      </c>
      <c r="K5" s="1" t="s">
        <v>111</v>
      </c>
      <c r="L5" s="4">
        <f>E117</f>
        <v>13</v>
      </c>
      <c r="M5" s="4">
        <f>E117/115*100</f>
        <v>11.304347826086957</v>
      </c>
    </row>
    <row r="6" spans="1:13" ht="17">
      <c r="A6" s="1" t="s">
        <v>67</v>
      </c>
      <c r="B6" s="1">
        <f t="shared" si="0"/>
        <v>0</v>
      </c>
      <c r="C6">
        <f t="shared" si="1"/>
        <v>1</v>
      </c>
      <c r="D6">
        <f t="shared" si="2"/>
        <v>0</v>
      </c>
      <c r="E6">
        <f t="shared" si="3"/>
        <v>0</v>
      </c>
      <c r="F6">
        <f t="shared" si="4"/>
        <v>1</v>
      </c>
      <c r="G6">
        <f t="shared" si="5"/>
        <v>0</v>
      </c>
      <c r="H6">
        <f t="shared" si="6"/>
        <v>0</v>
      </c>
      <c r="K6" s="1" t="s">
        <v>112</v>
      </c>
      <c r="L6" s="4">
        <f>F117</f>
        <v>55</v>
      </c>
      <c r="M6" s="4">
        <f>F117/115*100</f>
        <v>47.826086956521742</v>
      </c>
    </row>
    <row r="7" spans="1:13" ht="17">
      <c r="A7" s="1" t="s">
        <v>71</v>
      </c>
      <c r="B7" s="1">
        <f t="shared" si="0"/>
        <v>0</v>
      </c>
      <c r="C7">
        <f t="shared" si="1"/>
        <v>1</v>
      </c>
      <c r="D7">
        <f t="shared" si="2"/>
        <v>0</v>
      </c>
      <c r="E7">
        <f t="shared" si="3"/>
        <v>0</v>
      </c>
      <c r="F7">
        <f t="shared" si="4"/>
        <v>0</v>
      </c>
      <c r="G7">
        <f t="shared" si="5"/>
        <v>1</v>
      </c>
      <c r="H7">
        <f t="shared" si="6"/>
        <v>0</v>
      </c>
      <c r="K7" s="1" t="s">
        <v>113</v>
      </c>
      <c r="L7" s="4">
        <f>G117</f>
        <v>37</v>
      </c>
      <c r="M7" s="4">
        <f>G117/115*100</f>
        <v>32.173913043478258</v>
      </c>
    </row>
    <row r="8" spans="1:13" ht="17">
      <c r="A8" s="1" t="s">
        <v>78</v>
      </c>
      <c r="B8" s="1">
        <f t="shared" si="0"/>
        <v>0</v>
      </c>
      <c r="C8">
        <f t="shared" si="1"/>
        <v>0</v>
      </c>
      <c r="D8">
        <f t="shared" si="2"/>
        <v>0</v>
      </c>
      <c r="E8">
        <f t="shared" si="3"/>
        <v>1</v>
      </c>
      <c r="F8">
        <f t="shared" si="4"/>
        <v>1</v>
      </c>
      <c r="G8">
        <f t="shared" si="5"/>
        <v>0</v>
      </c>
      <c r="H8">
        <f t="shared" si="6"/>
        <v>0</v>
      </c>
      <c r="K8" s="1" t="s">
        <v>114</v>
      </c>
      <c r="L8" s="4">
        <f>H117</f>
        <v>31</v>
      </c>
      <c r="M8" s="4">
        <f>H117/115*100</f>
        <v>26.956521739130434</v>
      </c>
    </row>
    <row r="9" spans="1:13">
      <c r="A9" s="1" t="s">
        <v>83</v>
      </c>
      <c r="B9" s="1">
        <f t="shared" si="0"/>
        <v>1</v>
      </c>
      <c r="C9">
        <f t="shared" si="1"/>
        <v>1</v>
      </c>
      <c r="D9">
        <f t="shared" si="2"/>
        <v>0</v>
      </c>
      <c r="E9">
        <f t="shared" si="3"/>
        <v>0</v>
      </c>
      <c r="F9">
        <f t="shared" si="4"/>
        <v>0</v>
      </c>
      <c r="G9">
        <f t="shared" si="5"/>
        <v>1</v>
      </c>
      <c r="H9">
        <f t="shared" si="6"/>
        <v>0</v>
      </c>
    </row>
    <row r="10" spans="1:13">
      <c r="A10" s="1" t="s">
        <v>57</v>
      </c>
      <c r="B10" s="1">
        <f t="shared" si="0"/>
        <v>0</v>
      </c>
      <c r="C10">
        <f t="shared" si="1"/>
        <v>0</v>
      </c>
      <c r="D10">
        <f t="shared" si="2"/>
        <v>0</v>
      </c>
      <c r="E10">
        <f t="shared" si="3"/>
        <v>0</v>
      </c>
      <c r="F10">
        <f t="shared" si="4"/>
        <v>1</v>
      </c>
      <c r="G10">
        <f t="shared" si="5"/>
        <v>0</v>
      </c>
      <c r="H10">
        <f t="shared" si="6"/>
        <v>1</v>
      </c>
    </row>
    <row r="11" spans="1:13">
      <c r="A11" s="1" t="s">
        <v>90</v>
      </c>
      <c r="B11" s="1">
        <f t="shared" si="0"/>
        <v>0</v>
      </c>
      <c r="C11">
        <f t="shared" si="1"/>
        <v>1</v>
      </c>
      <c r="D11">
        <f t="shared" si="2"/>
        <v>1</v>
      </c>
      <c r="E11">
        <f t="shared" si="3"/>
        <v>0</v>
      </c>
      <c r="F11">
        <f t="shared" si="4"/>
        <v>0</v>
      </c>
      <c r="G11">
        <f t="shared" si="5"/>
        <v>0</v>
      </c>
      <c r="H11">
        <f t="shared" si="6"/>
        <v>0</v>
      </c>
    </row>
    <row r="12" spans="1:13">
      <c r="A12" s="1" t="s">
        <v>33</v>
      </c>
      <c r="B12" s="1">
        <f t="shared" si="0"/>
        <v>1</v>
      </c>
      <c r="C12">
        <f t="shared" si="1"/>
        <v>1</v>
      </c>
      <c r="D12">
        <f t="shared" si="2"/>
        <v>0</v>
      </c>
      <c r="E12">
        <f t="shared" si="3"/>
        <v>0</v>
      </c>
      <c r="F12">
        <f t="shared" si="4"/>
        <v>1</v>
      </c>
      <c r="G12">
        <f t="shared" si="5"/>
        <v>0</v>
      </c>
      <c r="H12">
        <f t="shared" si="6"/>
        <v>0</v>
      </c>
    </row>
    <row r="13" spans="1:13">
      <c r="A13" s="1" t="s">
        <v>92</v>
      </c>
      <c r="B13" s="1">
        <f t="shared" si="0"/>
        <v>0</v>
      </c>
      <c r="C13">
        <f t="shared" si="1"/>
        <v>0</v>
      </c>
      <c r="D13">
        <f t="shared" si="2"/>
        <v>0</v>
      </c>
      <c r="E13">
        <f t="shared" si="3"/>
        <v>0</v>
      </c>
      <c r="F13">
        <f t="shared" si="4"/>
        <v>1</v>
      </c>
      <c r="G13">
        <f t="shared" si="5"/>
        <v>0</v>
      </c>
      <c r="H13">
        <f t="shared" si="6"/>
        <v>1</v>
      </c>
    </row>
    <row r="14" spans="1:13">
      <c r="A14" s="1" t="s">
        <v>71</v>
      </c>
      <c r="B14" s="1">
        <f t="shared" si="0"/>
        <v>0</v>
      </c>
      <c r="C14">
        <f t="shared" si="1"/>
        <v>1</v>
      </c>
      <c r="D14">
        <f t="shared" si="2"/>
        <v>0</v>
      </c>
      <c r="E14">
        <f t="shared" si="3"/>
        <v>0</v>
      </c>
      <c r="F14">
        <f t="shared" si="4"/>
        <v>0</v>
      </c>
      <c r="G14">
        <f t="shared" si="5"/>
        <v>1</v>
      </c>
      <c r="H14">
        <f t="shared" si="6"/>
        <v>0</v>
      </c>
    </row>
    <row r="15" spans="1:13">
      <c r="A15" s="1" t="s">
        <v>95</v>
      </c>
      <c r="B15" s="1">
        <f t="shared" si="0"/>
        <v>1</v>
      </c>
      <c r="C15">
        <f t="shared" si="1"/>
        <v>0</v>
      </c>
      <c r="D15">
        <f t="shared" si="2"/>
        <v>1</v>
      </c>
      <c r="E15">
        <f t="shared" si="3"/>
        <v>0</v>
      </c>
      <c r="F15">
        <f t="shared" si="4"/>
        <v>0</v>
      </c>
      <c r="G15">
        <f t="shared" si="5"/>
        <v>0</v>
      </c>
      <c r="H15">
        <f t="shared" si="6"/>
        <v>0</v>
      </c>
    </row>
    <row r="16" spans="1:13">
      <c r="A16" s="1" t="s">
        <v>97</v>
      </c>
      <c r="B16" s="1">
        <f t="shared" si="0"/>
        <v>0</v>
      </c>
      <c r="C16">
        <f t="shared" si="1"/>
        <v>0</v>
      </c>
      <c r="D16">
        <f t="shared" si="2"/>
        <v>0</v>
      </c>
      <c r="E16">
        <f t="shared" si="3"/>
        <v>1</v>
      </c>
      <c r="F16">
        <f t="shared" si="4"/>
        <v>1</v>
      </c>
      <c r="G16">
        <f t="shared" si="5"/>
        <v>0</v>
      </c>
      <c r="H16">
        <f t="shared" si="6"/>
        <v>0</v>
      </c>
    </row>
    <row r="17" spans="1:8">
      <c r="A17" s="1" t="s">
        <v>98</v>
      </c>
      <c r="B17" s="1">
        <f t="shared" si="0"/>
        <v>0</v>
      </c>
      <c r="C17">
        <f t="shared" si="1"/>
        <v>1</v>
      </c>
      <c r="D17">
        <f t="shared" si="2"/>
        <v>0</v>
      </c>
      <c r="E17">
        <f t="shared" si="3"/>
        <v>0</v>
      </c>
      <c r="F17">
        <f t="shared" si="4"/>
        <v>0</v>
      </c>
      <c r="G17">
        <f t="shared" si="5"/>
        <v>1</v>
      </c>
      <c r="H17">
        <f t="shared" si="6"/>
        <v>0</v>
      </c>
    </row>
    <row r="18" spans="1:8">
      <c r="A18" s="1" t="s">
        <v>99</v>
      </c>
      <c r="B18" s="1">
        <f t="shared" si="0"/>
        <v>1</v>
      </c>
      <c r="C18">
        <f t="shared" si="1"/>
        <v>1</v>
      </c>
      <c r="D18">
        <f t="shared" si="2"/>
        <v>0</v>
      </c>
      <c r="E18">
        <f t="shared" si="3"/>
        <v>0</v>
      </c>
      <c r="F18">
        <f t="shared" si="4"/>
        <v>0</v>
      </c>
      <c r="G18">
        <f t="shared" si="5"/>
        <v>0</v>
      </c>
      <c r="H18">
        <f t="shared" si="6"/>
        <v>0</v>
      </c>
    </row>
    <row r="19" spans="1:8">
      <c r="A19" s="1" t="s">
        <v>57</v>
      </c>
      <c r="B19" s="1">
        <f t="shared" si="0"/>
        <v>0</v>
      </c>
      <c r="C19">
        <f t="shared" si="1"/>
        <v>0</v>
      </c>
      <c r="D19">
        <f t="shared" si="2"/>
        <v>0</v>
      </c>
      <c r="E19">
        <f t="shared" si="3"/>
        <v>0</v>
      </c>
      <c r="F19">
        <f t="shared" si="4"/>
        <v>1</v>
      </c>
      <c r="G19">
        <f t="shared" si="5"/>
        <v>0</v>
      </c>
      <c r="H19">
        <f t="shared" si="6"/>
        <v>1</v>
      </c>
    </row>
    <row r="20" spans="1:8">
      <c r="A20" s="1" t="s">
        <v>100</v>
      </c>
      <c r="B20" s="1">
        <f t="shared" si="0"/>
        <v>0</v>
      </c>
      <c r="C20">
        <f t="shared" si="1"/>
        <v>0</v>
      </c>
      <c r="D20">
        <f t="shared" si="2"/>
        <v>1</v>
      </c>
      <c r="E20">
        <f t="shared" si="3"/>
        <v>0</v>
      </c>
      <c r="F20">
        <f t="shared" si="4"/>
        <v>0</v>
      </c>
      <c r="G20">
        <f t="shared" si="5"/>
        <v>1</v>
      </c>
      <c r="H20">
        <f t="shared" si="6"/>
        <v>0</v>
      </c>
    </row>
    <row r="21" spans="1:8">
      <c r="A21" s="1" t="s">
        <v>57</v>
      </c>
      <c r="B21" s="1">
        <f t="shared" si="0"/>
        <v>0</v>
      </c>
      <c r="C21">
        <f t="shared" si="1"/>
        <v>0</v>
      </c>
      <c r="D21">
        <f t="shared" si="2"/>
        <v>0</v>
      </c>
      <c r="E21">
        <f t="shared" si="3"/>
        <v>0</v>
      </c>
      <c r="F21">
        <f t="shared" si="4"/>
        <v>1</v>
      </c>
      <c r="G21">
        <f t="shared" si="5"/>
        <v>0</v>
      </c>
      <c r="H21">
        <f t="shared" si="6"/>
        <v>1</v>
      </c>
    </row>
    <row r="22" spans="1:8">
      <c r="A22" s="1" t="s">
        <v>83</v>
      </c>
      <c r="B22" s="1">
        <f t="shared" si="0"/>
        <v>1</v>
      </c>
      <c r="C22">
        <f t="shared" si="1"/>
        <v>1</v>
      </c>
      <c r="D22">
        <f t="shared" si="2"/>
        <v>0</v>
      </c>
      <c r="E22">
        <f t="shared" si="3"/>
        <v>0</v>
      </c>
      <c r="F22">
        <f t="shared" si="4"/>
        <v>0</v>
      </c>
      <c r="G22">
        <f t="shared" si="5"/>
        <v>1</v>
      </c>
      <c r="H22">
        <f t="shared" si="6"/>
        <v>0</v>
      </c>
    </row>
    <row r="23" spans="1:8">
      <c r="A23" s="1" t="s">
        <v>67</v>
      </c>
      <c r="B23" s="1">
        <f t="shared" si="0"/>
        <v>0</v>
      </c>
      <c r="C23">
        <f t="shared" si="1"/>
        <v>1</v>
      </c>
      <c r="D23">
        <f t="shared" si="2"/>
        <v>0</v>
      </c>
      <c r="E23">
        <f t="shared" si="3"/>
        <v>0</v>
      </c>
      <c r="F23">
        <f t="shared" si="4"/>
        <v>1</v>
      </c>
      <c r="G23">
        <f t="shared" si="5"/>
        <v>0</v>
      </c>
      <c r="H23">
        <f t="shared" si="6"/>
        <v>0</v>
      </c>
    </row>
    <row r="24" spans="1:8">
      <c r="A24" s="1" t="s">
        <v>101</v>
      </c>
      <c r="B24" s="1">
        <f t="shared" si="0"/>
        <v>0</v>
      </c>
      <c r="C24">
        <f t="shared" si="1"/>
        <v>0</v>
      </c>
      <c r="D24">
        <f t="shared" si="2"/>
        <v>1</v>
      </c>
      <c r="E24">
        <f t="shared" si="3"/>
        <v>0</v>
      </c>
      <c r="F24">
        <f t="shared" si="4"/>
        <v>0</v>
      </c>
      <c r="G24">
        <f t="shared" si="5"/>
        <v>1</v>
      </c>
      <c r="H24">
        <f t="shared" si="6"/>
        <v>0</v>
      </c>
    </row>
    <row r="25" spans="1:8">
      <c r="A25" s="1" t="s">
        <v>78</v>
      </c>
      <c r="B25" s="1">
        <f t="shared" si="0"/>
        <v>0</v>
      </c>
      <c r="C25">
        <f t="shared" si="1"/>
        <v>0</v>
      </c>
      <c r="D25">
        <f t="shared" si="2"/>
        <v>0</v>
      </c>
      <c r="E25">
        <f t="shared" si="3"/>
        <v>1</v>
      </c>
      <c r="F25">
        <f t="shared" si="4"/>
        <v>1</v>
      </c>
      <c r="G25">
        <f t="shared" si="5"/>
        <v>0</v>
      </c>
      <c r="H25">
        <f t="shared" si="6"/>
        <v>0</v>
      </c>
    </row>
    <row r="26" spans="1:8">
      <c r="A26" s="1" t="s">
        <v>99</v>
      </c>
      <c r="B26" s="1">
        <f t="shared" si="0"/>
        <v>1</v>
      </c>
      <c r="C26">
        <f t="shared" si="1"/>
        <v>1</v>
      </c>
      <c r="D26">
        <f t="shared" si="2"/>
        <v>0</v>
      </c>
      <c r="E26">
        <f t="shared" si="3"/>
        <v>0</v>
      </c>
      <c r="F26">
        <f t="shared" si="4"/>
        <v>0</v>
      </c>
      <c r="G26">
        <f t="shared" si="5"/>
        <v>0</v>
      </c>
      <c r="H26">
        <f t="shared" si="6"/>
        <v>0</v>
      </c>
    </row>
    <row r="27" spans="1:8">
      <c r="A27" s="1" t="s">
        <v>57</v>
      </c>
      <c r="B27" s="1">
        <f t="shared" si="0"/>
        <v>0</v>
      </c>
      <c r="C27">
        <f t="shared" si="1"/>
        <v>0</v>
      </c>
      <c r="D27">
        <f t="shared" si="2"/>
        <v>0</v>
      </c>
      <c r="E27">
        <f t="shared" si="3"/>
        <v>0</v>
      </c>
      <c r="F27">
        <f t="shared" si="4"/>
        <v>1</v>
      </c>
      <c r="G27">
        <f t="shared" si="5"/>
        <v>0</v>
      </c>
      <c r="H27">
        <f t="shared" si="6"/>
        <v>1</v>
      </c>
    </row>
    <row r="28" spans="1:8">
      <c r="A28" s="1" t="s">
        <v>100</v>
      </c>
      <c r="B28" s="1">
        <f t="shared" si="0"/>
        <v>0</v>
      </c>
      <c r="C28">
        <f t="shared" si="1"/>
        <v>0</v>
      </c>
      <c r="D28">
        <f t="shared" si="2"/>
        <v>1</v>
      </c>
      <c r="E28">
        <f t="shared" si="3"/>
        <v>0</v>
      </c>
      <c r="F28">
        <f t="shared" si="4"/>
        <v>0</v>
      </c>
      <c r="G28">
        <f t="shared" si="5"/>
        <v>1</v>
      </c>
      <c r="H28">
        <f t="shared" si="6"/>
        <v>0</v>
      </c>
    </row>
    <row r="29" spans="1:8">
      <c r="A29" s="1" t="s">
        <v>78</v>
      </c>
      <c r="B29" s="1">
        <f t="shared" si="0"/>
        <v>0</v>
      </c>
      <c r="C29">
        <f t="shared" si="1"/>
        <v>0</v>
      </c>
      <c r="D29">
        <f t="shared" si="2"/>
        <v>0</v>
      </c>
      <c r="E29">
        <f t="shared" si="3"/>
        <v>1</v>
      </c>
      <c r="F29">
        <f t="shared" si="4"/>
        <v>1</v>
      </c>
      <c r="G29">
        <f t="shared" si="5"/>
        <v>0</v>
      </c>
      <c r="H29">
        <f t="shared" si="6"/>
        <v>0</v>
      </c>
    </row>
    <row r="30" spans="1:8">
      <c r="A30" s="1" t="s">
        <v>99</v>
      </c>
      <c r="B30" s="1">
        <f t="shared" si="0"/>
        <v>1</v>
      </c>
      <c r="C30">
        <f t="shared" si="1"/>
        <v>1</v>
      </c>
      <c r="D30">
        <f t="shared" si="2"/>
        <v>0</v>
      </c>
      <c r="E30">
        <f t="shared" si="3"/>
        <v>0</v>
      </c>
      <c r="F30">
        <f t="shared" si="4"/>
        <v>0</v>
      </c>
      <c r="G30">
        <f t="shared" si="5"/>
        <v>0</v>
      </c>
      <c r="H30">
        <f t="shared" si="6"/>
        <v>0</v>
      </c>
    </row>
    <row r="31" spans="1:8">
      <c r="A31" s="1" t="s">
        <v>98</v>
      </c>
      <c r="B31" s="1">
        <f t="shared" si="0"/>
        <v>0</v>
      </c>
      <c r="C31">
        <f t="shared" si="1"/>
        <v>1</v>
      </c>
      <c r="D31">
        <f t="shared" si="2"/>
        <v>0</v>
      </c>
      <c r="E31">
        <f t="shared" si="3"/>
        <v>0</v>
      </c>
      <c r="F31">
        <f t="shared" si="4"/>
        <v>0</v>
      </c>
      <c r="G31">
        <f t="shared" si="5"/>
        <v>1</v>
      </c>
      <c r="H31">
        <f t="shared" si="6"/>
        <v>0</v>
      </c>
    </row>
    <row r="32" spans="1:8">
      <c r="A32" s="1" t="s">
        <v>103</v>
      </c>
      <c r="B32" s="1">
        <f t="shared" si="0"/>
        <v>0</v>
      </c>
      <c r="C32">
        <f t="shared" si="1"/>
        <v>0</v>
      </c>
      <c r="D32">
        <f t="shared" si="2"/>
        <v>1</v>
      </c>
      <c r="E32">
        <f t="shared" si="3"/>
        <v>0</v>
      </c>
      <c r="F32">
        <f t="shared" si="4"/>
        <v>1</v>
      </c>
      <c r="G32">
        <f t="shared" si="5"/>
        <v>0</v>
      </c>
      <c r="H32">
        <f t="shared" si="6"/>
        <v>0</v>
      </c>
    </row>
    <row r="33" spans="1:8">
      <c r="A33" s="1" t="s">
        <v>92</v>
      </c>
      <c r="B33" s="1">
        <f t="shared" si="0"/>
        <v>0</v>
      </c>
      <c r="C33">
        <f t="shared" si="1"/>
        <v>0</v>
      </c>
      <c r="D33">
        <f t="shared" si="2"/>
        <v>0</v>
      </c>
      <c r="E33">
        <f t="shared" si="3"/>
        <v>0</v>
      </c>
      <c r="F33">
        <f t="shared" si="4"/>
        <v>1</v>
      </c>
      <c r="G33">
        <f t="shared" si="5"/>
        <v>0</v>
      </c>
      <c r="H33">
        <f t="shared" si="6"/>
        <v>1</v>
      </c>
    </row>
    <row r="34" spans="1:8">
      <c r="A34" s="1" t="s">
        <v>83</v>
      </c>
      <c r="B34" s="1">
        <f t="shared" si="0"/>
        <v>1</v>
      </c>
      <c r="C34">
        <f t="shared" si="1"/>
        <v>1</v>
      </c>
      <c r="D34">
        <f t="shared" si="2"/>
        <v>0</v>
      </c>
      <c r="E34">
        <f t="shared" si="3"/>
        <v>0</v>
      </c>
      <c r="F34">
        <f t="shared" si="4"/>
        <v>0</v>
      </c>
      <c r="G34">
        <f t="shared" si="5"/>
        <v>1</v>
      </c>
      <c r="H34">
        <f t="shared" si="6"/>
        <v>0</v>
      </c>
    </row>
    <row r="35" spans="1:8">
      <c r="A35" s="1" t="s">
        <v>97</v>
      </c>
      <c r="B35" s="1">
        <f t="shared" si="0"/>
        <v>0</v>
      </c>
      <c r="C35">
        <f t="shared" si="1"/>
        <v>0</v>
      </c>
      <c r="D35">
        <f t="shared" si="2"/>
        <v>0</v>
      </c>
      <c r="E35">
        <f t="shared" si="3"/>
        <v>1</v>
      </c>
      <c r="F35">
        <f t="shared" si="4"/>
        <v>1</v>
      </c>
      <c r="G35">
        <f t="shared" si="5"/>
        <v>0</v>
      </c>
      <c r="H35">
        <f t="shared" si="6"/>
        <v>0</v>
      </c>
    </row>
    <row r="36" spans="1:8">
      <c r="A36" s="1" t="s">
        <v>100</v>
      </c>
      <c r="B36" s="1">
        <f t="shared" si="0"/>
        <v>0</v>
      </c>
      <c r="C36">
        <f t="shared" si="1"/>
        <v>0</v>
      </c>
      <c r="D36">
        <f t="shared" si="2"/>
        <v>1</v>
      </c>
      <c r="E36">
        <f t="shared" si="3"/>
        <v>0</v>
      </c>
      <c r="F36">
        <f t="shared" si="4"/>
        <v>0</v>
      </c>
      <c r="G36">
        <f t="shared" si="5"/>
        <v>1</v>
      </c>
      <c r="H36">
        <f t="shared" si="6"/>
        <v>0</v>
      </c>
    </row>
    <row r="37" spans="1:8">
      <c r="A37" s="1" t="s">
        <v>57</v>
      </c>
      <c r="B37" s="1">
        <f t="shared" si="0"/>
        <v>0</v>
      </c>
      <c r="C37">
        <f t="shared" si="1"/>
        <v>0</v>
      </c>
      <c r="D37">
        <f t="shared" si="2"/>
        <v>0</v>
      </c>
      <c r="E37">
        <f t="shared" si="3"/>
        <v>0</v>
      </c>
      <c r="F37">
        <f t="shared" si="4"/>
        <v>1</v>
      </c>
      <c r="G37">
        <f t="shared" si="5"/>
        <v>0</v>
      </c>
      <c r="H37">
        <f t="shared" si="6"/>
        <v>1</v>
      </c>
    </row>
    <row r="38" spans="1:8">
      <c r="A38" s="1" t="s">
        <v>99</v>
      </c>
      <c r="B38" s="1">
        <f t="shared" si="0"/>
        <v>1</v>
      </c>
      <c r="C38">
        <f t="shared" si="1"/>
        <v>1</v>
      </c>
      <c r="D38">
        <f t="shared" si="2"/>
        <v>0</v>
      </c>
      <c r="E38">
        <f t="shared" si="3"/>
        <v>0</v>
      </c>
      <c r="F38">
        <f t="shared" si="4"/>
        <v>0</v>
      </c>
      <c r="G38">
        <f t="shared" si="5"/>
        <v>0</v>
      </c>
      <c r="H38">
        <f t="shared" si="6"/>
        <v>0</v>
      </c>
    </row>
    <row r="39" spans="1:8">
      <c r="A39" s="1" t="s">
        <v>98</v>
      </c>
      <c r="B39" s="1">
        <f t="shared" si="0"/>
        <v>0</v>
      </c>
      <c r="C39">
        <f t="shared" si="1"/>
        <v>1</v>
      </c>
      <c r="D39">
        <f t="shared" si="2"/>
        <v>0</v>
      </c>
      <c r="E39">
        <f t="shared" si="3"/>
        <v>0</v>
      </c>
      <c r="F39">
        <f t="shared" si="4"/>
        <v>0</v>
      </c>
      <c r="G39">
        <f t="shared" si="5"/>
        <v>1</v>
      </c>
      <c r="H39">
        <f t="shared" si="6"/>
        <v>0</v>
      </c>
    </row>
    <row r="40" spans="1:8">
      <c r="A40" s="1" t="s">
        <v>103</v>
      </c>
      <c r="B40" s="1">
        <f t="shared" si="0"/>
        <v>0</v>
      </c>
      <c r="C40">
        <f t="shared" si="1"/>
        <v>0</v>
      </c>
      <c r="D40">
        <f t="shared" si="2"/>
        <v>1</v>
      </c>
      <c r="E40">
        <f t="shared" si="3"/>
        <v>0</v>
      </c>
      <c r="F40">
        <f t="shared" si="4"/>
        <v>1</v>
      </c>
      <c r="G40">
        <f t="shared" si="5"/>
        <v>0</v>
      </c>
      <c r="H40">
        <f t="shared" si="6"/>
        <v>0</v>
      </c>
    </row>
    <row r="41" spans="1:8">
      <c r="A41" s="1" t="s">
        <v>92</v>
      </c>
      <c r="B41" s="1">
        <f t="shared" si="0"/>
        <v>0</v>
      </c>
      <c r="C41">
        <f t="shared" si="1"/>
        <v>0</v>
      </c>
      <c r="D41">
        <f t="shared" si="2"/>
        <v>0</v>
      </c>
      <c r="E41">
        <f t="shared" si="3"/>
        <v>0</v>
      </c>
      <c r="F41">
        <f t="shared" si="4"/>
        <v>1</v>
      </c>
      <c r="G41">
        <f t="shared" si="5"/>
        <v>0</v>
      </c>
      <c r="H41">
        <f t="shared" si="6"/>
        <v>1</v>
      </c>
    </row>
    <row r="42" spans="1:8">
      <c r="A42" s="1" t="s">
        <v>62</v>
      </c>
      <c r="B42" s="1">
        <f t="shared" si="0"/>
        <v>1</v>
      </c>
      <c r="C42">
        <f t="shared" si="1"/>
        <v>1</v>
      </c>
      <c r="D42">
        <f t="shared" si="2"/>
        <v>1</v>
      </c>
      <c r="E42">
        <f t="shared" si="3"/>
        <v>0</v>
      </c>
      <c r="F42">
        <f t="shared" si="4"/>
        <v>0</v>
      </c>
      <c r="G42">
        <f t="shared" si="5"/>
        <v>0</v>
      </c>
      <c r="H42">
        <f t="shared" si="6"/>
        <v>0</v>
      </c>
    </row>
    <row r="43" spans="1:8">
      <c r="A43" s="1" t="s">
        <v>57</v>
      </c>
      <c r="B43" s="1">
        <f t="shared" si="0"/>
        <v>0</v>
      </c>
      <c r="C43">
        <f t="shared" si="1"/>
        <v>0</v>
      </c>
      <c r="D43">
        <f t="shared" si="2"/>
        <v>0</v>
      </c>
      <c r="E43">
        <f t="shared" si="3"/>
        <v>0</v>
      </c>
      <c r="F43">
        <f t="shared" si="4"/>
        <v>1</v>
      </c>
      <c r="G43">
        <f t="shared" si="5"/>
        <v>0</v>
      </c>
      <c r="H43">
        <f t="shared" si="6"/>
        <v>1</v>
      </c>
    </row>
    <row r="44" spans="1:8">
      <c r="A44" s="1" t="s">
        <v>78</v>
      </c>
      <c r="B44" s="1">
        <f t="shared" si="0"/>
        <v>0</v>
      </c>
      <c r="C44">
        <f t="shared" si="1"/>
        <v>0</v>
      </c>
      <c r="D44">
        <f t="shared" si="2"/>
        <v>0</v>
      </c>
      <c r="E44">
        <f t="shared" si="3"/>
        <v>1</v>
      </c>
      <c r="F44">
        <f t="shared" si="4"/>
        <v>1</v>
      </c>
      <c r="G44">
        <f t="shared" si="5"/>
        <v>0</v>
      </c>
      <c r="H44">
        <f t="shared" si="6"/>
        <v>0</v>
      </c>
    </row>
    <row r="45" spans="1:8">
      <c r="A45" s="1" t="s">
        <v>98</v>
      </c>
      <c r="B45" s="1">
        <f t="shared" si="0"/>
        <v>0</v>
      </c>
      <c r="C45">
        <f t="shared" si="1"/>
        <v>1</v>
      </c>
      <c r="D45">
        <f t="shared" si="2"/>
        <v>0</v>
      </c>
      <c r="E45">
        <f t="shared" si="3"/>
        <v>0</v>
      </c>
      <c r="F45">
        <f t="shared" si="4"/>
        <v>0</v>
      </c>
      <c r="G45">
        <f t="shared" si="5"/>
        <v>1</v>
      </c>
      <c r="H45">
        <f t="shared" si="6"/>
        <v>0</v>
      </c>
    </row>
    <row r="46" spans="1:8">
      <c r="A46" s="1" t="s">
        <v>33</v>
      </c>
      <c r="B46" s="1">
        <f t="shared" si="0"/>
        <v>1</v>
      </c>
      <c r="C46">
        <f t="shared" si="1"/>
        <v>1</v>
      </c>
      <c r="D46">
        <f t="shared" si="2"/>
        <v>0</v>
      </c>
      <c r="E46">
        <f t="shared" si="3"/>
        <v>0</v>
      </c>
      <c r="F46">
        <f t="shared" si="4"/>
        <v>1</v>
      </c>
      <c r="G46">
        <f t="shared" si="5"/>
        <v>0</v>
      </c>
      <c r="H46">
        <f t="shared" si="6"/>
        <v>0</v>
      </c>
    </row>
    <row r="47" spans="1:8">
      <c r="A47" s="1" t="s">
        <v>90</v>
      </c>
      <c r="B47" s="1">
        <f t="shared" si="0"/>
        <v>0</v>
      </c>
      <c r="C47">
        <f t="shared" si="1"/>
        <v>1</v>
      </c>
      <c r="D47">
        <f t="shared" si="2"/>
        <v>1</v>
      </c>
      <c r="E47">
        <f t="shared" si="3"/>
        <v>0</v>
      </c>
      <c r="F47">
        <f t="shared" si="4"/>
        <v>0</v>
      </c>
      <c r="G47">
        <f t="shared" si="5"/>
        <v>0</v>
      </c>
      <c r="H47">
        <f t="shared" si="6"/>
        <v>0</v>
      </c>
    </row>
    <row r="48" spans="1:8">
      <c r="A48" s="1" t="s">
        <v>92</v>
      </c>
      <c r="B48" s="1">
        <f t="shared" si="0"/>
        <v>0</v>
      </c>
      <c r="C48">
        <f t="shared" si="1"/>
        <v>0</v>
      </c>
      <c r="D48">
        <f t="shared" si="2"/>
        <v>0</v>
      </c>
      <c r="E48">
        <f t="shared" si="3"/>
        <v>0</v>
      </c>
      <c r="F48">
        <f t="shared" si="4"/>
        <v>1</v>
      </c>
      <c r="G48">
        <f t="shared" si="5"/>
        <v>0</v>
      </c>
      <c r="H48">
        <f t="shared" si="6"/>
        <v>1</v>
      </c>
    </row>
    <row r="49" spans="1:8">
      <c r="A49" s="1" t="s">
        <v>71</v>
      </c>
      <c r="B49" s="1">
        <f t="shared" si="0"/>
        <v>0</v>
      </c>
      <c r="C49">
        <f t="shared" si="1"/>
        <v>1</v>
      </c>
      <c r="D49">
        <f t="shared" si="2"/>
        <v>0</v>
      </c>
      <c r="E49">
        <f t="shared" si="3"/>
        <v>0</v>
      </c>
      <c r="F49">
        <f t="shared" si="4"/>
        <v>0</v>
      </c>
      <c r="G49">
        <f t="shared" si="5"/>
        <v>1</v>
      </c>
      <c r="H49">
        <f t="shared" si="6"/>
        <v>0</v>
      </c>
    </row>
    <row r="50" spans="1:8">
      <c r="A50" s="1" t="s">
        <v>99</v>
      </c>
      <c r="B50" s="1">
        <f t="shared" si="0"/>
        <v>1</v>
      </c>
      <c r="C50">
        <f t="shared" si="1"/>
        <v>1</v>
      </c>
      <c r="D50">
        <f t="shared" si="2"/>
        <v>0</v>
      </c>
      <c r="E50">
        <f t="shared" si="3"/>
        <v>0</v>
      </c>
      <c r="F50">
        <f t="shared" si="4"/>
        <v>0</v>
      </c>
      <c r="G50">
        <f t="shared" si="5"/>
        <v>0</v>
      </c>
      <c r="H50">
        <f t="shared" si="6"/>
        <v>0</v>
      </c>
    </row>
    <row r="51" spans="1:8">
      <c r="A51" s="1" t="s">
        <v>97</v>
      </c>
      <c r="B51" s="1">
        <f t="shared" si="0"/>
        <v>0</v>
      </c>
      <c r="C51">
        <f t="shared" si="1"/>
        <v>0</v>
      </c>
      <c r="D51">
        <f t="shared" si="2"/>
        <v>0</v>
      </c>
      <c r="E51">
        <f t="shared" si="3"/>
        <v>1</v>
      </c>
      <c r="F51">
        <f t="shared" si="4"/>
        <v>1</v>
      </c>
      <c r="G51">
        <f t="shared" si="5"/>
        <v>0</v>
      </c>
      <c r="H51">
        <f t="shared" si="6"/>
        <v>0</v>
      </c>
    </row>
    <row r="52" spans="1:8">
      <c r="A52" s="1" t="s">
        <v>95</v>
      </c>
      <c r="B52" s="1">
        <f t="shared" si="0"/>
        <v>1</v>
      </c>
      <c r="C52">
        <f t="shared" si="1"/>
        <v>0</v>
      </c>
      <c r="D52">
        <f t="shared" si="2"/>
        <v>1</v>
      </c>
      <c r="E52">
        <f t="shared" si="3"/>
        <v>0</v>
      </c>
      <c r="F52">
        <f t="shared" si="4"/>
        <v>0</v>
      </c>
      <c r="G52">
        <f t="shared" si="5"/>
        <v>0</v>
      </c>
      <c r="H52">
        <f t="shared" si="6"/>
        <v>0</v>
      </c>
    </row>
    <row r="53" spans="1:8">
      <c r="A53" s="1" t="s">
        <v>98</v>
      </c>
      <c r="B53" s="1">
        <f t="shared" si="0"/>
        <v>0</v>
      </c>
      <c r="C53">
        <f t="shared" si="1"/>
        <v>1</v>
      </c>
      <c r="D53">
        <f t="shared" si="2"/>
        <v>0</v>
      </c>
      <c r="E53">
        <f t="shared" si="3"/>
        <v>0</v>
      </c>
      <c r="F53">
        <f t="shared" si="4"/>
        <v>0</v>
      </c>
      <c r="G53">
        <f t="shared" si="5"/>
        <v>1</v>
      </c>
      <c r="H53">
        <f t="shared" si="6"/>
        <v>0</v>
      </c>
    </row>
    <row r="54" spans="1:8">
      <c r="A54" s="1" t="s">
        <v>57</v>
      </c>
      <c r="B54" s="1">
        <f t="shared" si="0"/>
        <v>0</v>
      </c>
      <c r="C54">
        <f t="shared" si="1"/>
        <v>0</v>
      </c>
      <c r="D54">
        <f t="shared" si="2"/>
        <v>0</v>
      </c>
      <c r="E54">
        <f t="shared" si="3"/>
        <v>0</v>
      </c>
      <c r="F54">
        <f t="shared" si="4"/>
        <v>1</v>
      </c>
      <c r="G54">
        <f t="shared" si="5"/>
        <v>0</v>
      </c>
      <c r="H54">
        <f t="shared" si="6"/>
        <v>1</v>
      </c>
    </row>
    <row r="55" spans="1:8">
      <c r="A55" s="1" t="s">
        <v>83</v>
      </c>
      <c r="B55" s="1">
        <f t="shared" si="0"/>
        <v>1</v>
      </c>
      <c r="C55">
        <f t="shared" si="1"/>
        <v>1</v>
      </c>
      <c r="D55">
        <f t="shared" si="2"/>
        <v>0</v>
      </c>
      <c r="E55">
        <f t="shared" si="3"/>
        <v>0</v>
      </c>
      <c r="F55">
        <f t="shared" si="4"/>
        <v>0</v>
      </c>
      <c r="G55">
        <f t="shared" si="5"/>
        <v>1</v>
      </c>
      <c r="H55">
        <f t="shared" si="6"/>
        <v>0</v>
      </c>
    </row>
    <row r="56" spans="1:8">
      <c r="A56" s="1" t="s">
        <v>57</v>
      </c>
      <c r="B56" s="1">
        <f t="shared" si="0"/>
        <v>0</v>
      </c>
      <c r="C56">
        <f t="shared" si="1"/>
        <v>0</v>
      </c>
      <c r="D56">
        <f t="shared" si="2"/>
        <v>0</v>
      </c>
      <c r="E56">
        <f t="shared" si="3"/>
        <v>0</v>
      </c>
      <c r="F56">
        <f t="shared" si="4"/>
        <v>1</v>
      </c>
      <c r="G56">
        <f t="shared" si="5"/>
        <v>0</v>
      </c>
      <c r="H56">
        <f t="shared" si="6"/>
        <v>1</v>
      </c>
    </row>
    <row r="57" spans="1:8">
      <c r="A57" s="1" t="s">
        <v>100</v>
      </c>
      <c r="B57" s="1">
        <f t="shared" si="0"/>
        <v>0</v>
      </c>
      <c r="C57">
        <f t="shared" si="1"/>
        <v>0</v>
      </c>
      <c r="D57">
        <f t="shared" si="2"/>
        <v>1</v>
      </c>
      <c r="E57">
        <f t="shared" si="3"/>
        <v>0</v>
      </c>
      <c r="F57">
        <f t="shared" si="4"/>
        <v>0</v>
      </c>
      <c r="G57">
        <f t="shared" si="5"/>
        <v>1</v>
      </c>
      <c r="H57">
        <f t="shared" si="6"/>
        <v>0</v>
      </c>
    </row>
    <row r="58" spans="1:8">
      <c r="A58" s="1" t="s">
        <v>92</v>
      </c>
      <c r="B58" s="1">
        <f t="shared" si="0"/>
        <v>0</v>
      </c>
      <c r="C58">
        <f t="shared" si="1"/>
        <v>0</v>
      </c>
      <c r="D58">
        <f t="shared" si="2"/>
        <v>0</v>
      </c>
      <c r="E58">
        <f t="shared" si="3"/>
        <v>0</v>
      </c>
      <c r="F58">
        <f t="shared" si="4"/>
        <v>1</v>
      </c>
      <c r="G58">
        <f t="shared" si="5"/>
        <v>0</v>
      </c>
      <c r="H58">
        <f t="shared" si="6"/>
        <v>1</v>
      </c>
    </row>
    <row r="59" spans="1:8">
      <c r="A59" s="1" t="s">
        <v>99</v>
      </c>
      <c r="B59" s="1">
        <f t="shared" si="0"/>
        <v>1</v>
      </c>
      <c r="C59">
        <f t="shared" si="1"/>
        <v>1</v>
      </c>
      <c r="D59">
        <f t="shared" si="2"/>
        <v>0</v>
      </c>
      <c r="E59">
        <f t="shared" si="3"/>
        <v>0</v>
      </c>
      <c r="F59">
        <f t="shared" si="4"/>
        <v>0</v>
      </c>
      <c r="G59">
        <f t="shared" si="5"/>
        <v>0</v>
      </c>
      <c r="H59">
        <f t="shared" si="6"/>
        <v>0</v>
      </c>
    </row>
    <row r="60" spans="1:8">
      <c r="A60" s="1" t="s">
        <v>98</v>
      </c>
      <c r="B60" s="1">
        <f t="shared" si="0"/>
        <v>0</v>
      </c>
      <c r="C60">
        <f t="shared" si="1"/>
        <v>1</v>
      </c>
      <c r="D60">
        <f t="shared" si="2"/>
        <v>0</v>
      </c>
      <c r="E60">
        <f t="shared" si="3"/>
        <v>0</v>
      </c>
      <c r="F60">
        <f t="shared" si="4"/>
        <v>0</v>
      </c>
      <c r="G60">
        <f t="shared" si="5"/>
        <v>1</v>
      </c>
      <c r="H60">
        <f t="shared" si="6"/>
        <v>0</v>
      </c>
    </row>
    <row r="61" spans="1:8">
      <c r="A61" s="1" t="s">
        <v>57</v>
      </c>
      <c r="B61" s="1">
        <f t="shared" si="0"/>
        <v>0</v>
      </c>
      <c r="C61">
        <f t="shared" si="1"/>
        <v>0</v>
      </c>
      <c r="D61">
        <f t="shared" si="2"/>
        <v>0</v>
      </c>
      <c r="E61">
        <f t="shared" si="3"/>
        <v>0</v>
      </c>
      <c r="F61">
        <f t="shared" si="4"/>
        <v>1</v>
      </c>
      <c r="G61">
        <f t="shared" si="5"/>
        <v>0</v>
      </c>
      <c r="H61">
        <f t="shared" si="6"/>
        <v>1</v>
      </c>
    </row>
    <row r="62" spans="1:8">
      <c r="A62" s="1" t="s">
        <v>101</v>
      </c>
      <c r="B62" s="1">
        <f t="shared" si="0"/>
        <v>0</v>
      </c>
      <c r="C62">
        <f t="shared" si="1"/>
        <v>0</v>
      </c>
      <c r="D62">
        <f t="shared" si="2"/>
        <v>1</v>
      </c>
      <c r="E62">
        <f t="shared" si="3"/>
        <v>0</v>
      </c>
      <c r="F62">
        <f t="shared" si="4"/>
        <v>0</v>
      </c>
      <c r="G62">
        <f t="shared" si="5"/>
        <v>1</v>
      </c>
      <c r="H62">
        <f t="shared" si="6"/>
        <v>0</v>
      </c>
    </row>
    <row r="63" spans="1:8">
      <c r="A63" s="1" t="s">
        <v>99</v>
      </c>
      <c r="B63" s="1">
        <f t="shared" si="0"/>
        <v>1</v>
      </c>
      <c r="C63">
        <f t="shared" si="1"/>
        <v>1</v>
      </c>
      <c r="D63">
        <f t="shared" si="2"/>
        <v>0</v>
      </c>
      <c r="E63">
        <f t="shared" si="3"/>
        <v>0</v>
      </c>
      <c r="F63">
        <f t="shared" si="4"/>
        <v>0</v>
      </c>
      <c r="G63">
        <f t="shared" si="5"/>
        <v>0</v>
      </c>
      <c r="H63">
        <f t="shared" si="6"/>
        <v>0</v>
      </c>
    </row>
    <row r="64" spans="1:8">
      <c r="A64" s="1" t="s">
        <v>92</v>
      </c>
      <c r="B64" s="1">
        <f t="shared" si="0"/>
        <v>0</v>
      </c>
      <c r="C64">
        <f t="shared" si="1"/>
        <v>0</v>
      </c>
      <c r="D64">
        <f t="shared" si="2"/>
        <v>0</v>
      </c>
      <c r="E64">
        <f t="shared" si="3"/>
        <v>0</v>
      </c>
      <c r="F64">
        <f t="shared" si="4"/>
        <v>1</v>
      </c>
      <c r="G64">
        <f t="shared" si="5"/>
        <v>0</v>
      </c>
      <c r="H64">
        <f t="shared" si="6"/>
        <v>1</v>
      </c>
    </row>
    <row r="65" spans="1:8">
      <c r="A65" s="1" t="s">
        <v>97</v>
      </c>
      <c r="B65" s="1">
        <f t="shared" si="0"/>
        <v>0</v>
      </c>
      <c r="C65">
        <f t="shared" si="1"/>
        <v>0</v>
      </c>
      <c r="D65">
        <f t="shared" si="2"/>
        <v>0</v>
      </c>
      <c r="E65">
        <f t="shared" si="3"/>
        <v>1</v>
      </c>
      <c r="F65">
        <f t="shared" si="4"/>
        <v>1</v>
      </c>
      <c r="G65">
        <f t="shared" si="5"/>
        <v>0</v>
      </c>
      <c r="H65">
        <f t="shared" si="6"/>
        <v>0</v>
      </c>
    </row>
    <row r="66" spans="1:8">
      <c r="A66" s="1" t="s">
        <v>100</v>
      </c>
      <c r="B66" s="1">
        <f t="shared" si="0"/>
        <v>0</v>
      </c>
      <c r="C66">
        <f t="shared" si="1"/>
        <v>0</v>
      </c>
      <c r="D66">
        <f t="shared" si="2"/>
        <v>1</v>
      </c>
      <c r="E66">
        <f t="shared" si="3"/>
        <v>0</v>
      </c>
      <c r="F66">
        <f t="shared" si="4"/>
        <v>0</v>
      </c>
      <c r="G66">
        <f t="shared" si="5"/>
        <v>1</v>
      </c>
      <c r="H66">
        <f t="shared" si="6"/>
        <v>0</v>
      </c>
    </row>
    <row r="67" spans="1:8">
      <c r="A67" s="1" t="s">
        <v>57</v>
      </c>
      <c r="B67" s="1">
        <f t="shared" ref="B67:B116" si="7">IF(ISNUMBER(SEARCH("Middlemen control",A67)),1,0)</f>
        <v>0</v>
      </c>
      <c r="C67">
        <f t="shared" ref="C67:C116" si="8">IF(ISNUMBER(SEARCH("Low price",A67)),1,0)</f>
        <v>0</v>
      </c>
      <c r="D67">
        <f t="shared" ref="D67:D116" si="9">IF(ISNUMBER(SEARCH("Delayed payments",A67)),1,0)</f>
        <v>0</v>
      </c>
      <c r="E67">
        <f t="shared" ref="E67:E116" si="10">IF(ISNUMBER(SEARCH("Lack of market information",A67)),1,0)</f>
        <v>0</v>
      </c>
      <c r="F67">
        <f t="shared" ref="F67:F116" si="11">IF(ISNUMBER(SEARCH("Transport issues",A67)),1,0)</f>
        <v>1</v>
      </c>
      <c r="G67">
        <f t="shared" ref="G67:G116" si="12">IF(ISNUMBER(SEARCH("Storage problems",A67)),1,0)</f>
        <v>0</v>
      </c>
      <c r="H67">
        <f t="shared" ref="H67:H116" si="13">IF(ISNUMBER(SEARCH("Lack of awareness",A67)),1,0)</f>
        <v>1</v>
      </c>
    </row>
    <row r="68" spans="1:8">
      <c r="A68" s="1" t="s">
        <v>99</v>
      </c>
      <c r="B68" s="1">
        <f t="shared" si="7"/>
        <v>1</v>
      </c>
      <c r="C68">
        <f t="shared" si="8"/>
        <v>1</v>
      </c>
      <c r="D68">
        <f t="shared" si="9"/>
        <v>0</v>
      </c>
      <c r="E68">
        <f t="shared" si="10"/>
        <v>0</v>
      </c>
      <c r="F68">
        <f t="shared" si="11"/>
        <v>0</v>
      </c>
      <c r="G68">
        <f t="shared" si="12"/>
        <v>0</v>
      </c>
      <c r="H68">
        <f t="shared" si="13"/>
        <v>0</v>
      </c>
    </row>
    <row r="69" spans="1:8">
      <c r="A69" s="1" t="s">
        <v>98</v>
      </c>
      <c r="B69" s="1">
        <f t="shared" si="7"/>
        <v>0</v>
      </c>
      <c r="C69">
        <f t="shared" si="8"/>
        <v>1</v>
      </c>
      <c r="D69">
        <f t="shared" si="9"/>
        <v>0</v>
      </c>
      <c r="E69">
        <f t="shared" si="10"/>
        <v>0</v>
      </c>
      <c r="F69">
        <f t="shared" si="11"/>
        <v>0</v>
      </c>
      <c r="G69">
        <f t="shared" si="12"/>
        <v>1</v>
      </c>
      <c r="H69">
        <f t="shared" si="13"/>
        <v>0</v>
      </c>
    </row>
    <row r="70" spans="1:8">
      <c r="A70" s="1" t="s">
        <v>57</v>
      </c>
      <c r="B70" s="1">
        <f t="shared" si="7"/>
        <v>0</v>
      </c>
      <c r="C70">
        <f t="shared" si="8"/>
        <v>0</v>
      </c>
      <c r="D70">
        <f t="shared" si="9"/>
        <v>0</v>
      </c>
      <c r="E70">
        <f t="shared" si="10"/>
        <v>0</v>
      </c>
      <c r="F70">
        <f t="shared" si="11"/>
        <v>1</v>
      </c>
      <c r="G70">
        <f t="shared" si="12"/>
        <v>0</v>
      </c>
      <c r="H70">
        <f t="shared" si="13"/>
        <v>1</v>
      </c>
    </row>
    <row r="71" spans="1:8">
      <c r="A71" s="1" t="s">
        <v>101</v>
      </c>
      <c r="B71" s="1">
        <f t="shared" si="7"/>
        <v>0</v>
      </c>
      <c r="C71">
        <f t="shared" si="8"/>
        <v>0</v>
      </c>
      <c r="D71">
        <f t="shared" si="9"/>
        <v>1</v>
      </c>
      <c r="E71">
        <f t="shared" si="10"/>
        <v>0</v>
      </c>
      <c r="F71">
        <f t="shared" si="11"/>
        <v>0</v>
      </c>
      <c r="G71">
        <f t="shared" si="12"/>
        <v>1</v>
      </c>
      <c r="H71">
        <f t="shared" si="13"/>
        <v>0</v>
      </c>
    </row>
    <row r="72" spans="1:8">
      <c r="A72" s="1" t="s">
        <v>33</v>
      </c>
      <c r="B72" s="1">
        <f t="shared" si="7"/>
        <v>1</v>
      </c>
      <c r="C72">
        <f t="shared" si="8"/>
        <v>1</v>
      </c>
      <c r="D72">
        <f t="shared" si="9"/>
        <v>0</v>
      </c>
      <c r="E72">
        <f t="shared" si="10"/>
        <v>0</v>
      </c>
      <c r="F72">
        <f t="shared" si="11"/>
        <v>1</v>
      </c>
      <c r="G72">
        <f t="shared" si="12"/>
        <v>0</v>
      </c>
      <c r="H72">
        <f t="shared" si="13"/>
        <v>0</v>
      </c>
    </row>
    <row r="73" spans="1:8">
      <c r="A73" s="1" t="s">
        <v>57</v>
      </c>
      <c r="B73" s="1">
        <f t="shared" si="7"/>
        <v>0</v>
      </c>
      <c r="C73">
        <f t="shared" si="8"/>
        <v>0</v>
      </c>
      <c r="D73">
        <f t="shared" si="9"/>
        <v>0</v>
      </c>
      <c r="E73">
        <f t="shared" si="10"/>
        <v>0</v>
      </c>
      <c r="F73">
        <f t="shared" si="11"/>
        <v>1</v>
      </c>
      <c r="G73">
        <f t="shared" si="12"/>
        <v>0</v>
      </c>
      <c r="H73">
        <f t="shared" si="13"/>
        <v>1</v>
      </c>
    </row>
    <row r="74" spans="1:8">
      <c r="A74" s="1" t="s">
        <v>78</v>
      </c>
      <c r="B74" s="1">
        <f t="shared" si="7"/>
        <v>0</v>
      </c>
      <c r="C74">
        <f t="shared" si="8"/>
        <v>0</v>
      </c>
      <c r="D74">
        <f t="shared" si="9"/>
        <v>0</v>
      </c>
      <c r="E74">
        <f t="shared" si="10"/>
        <v>1</v>
      </c>
      <c r="F74">
        <f t="shared" si="11"/>
        <v>1</v>
      </c>
      <c r="G74">
        <f t="shared" si="12"/>
        <v>0</v>
      </c>
      <c r="H74">
        <f t="shared" si="13"/>
        <v>0</v>
      </c>
    </row>
    <row r="75" spans="1:8">
      <c r="A75" s="1" t="s">
        <v>98</v>
      </c>
      <c r="B75" s="1">
        <f t="shared" si="7"/>
        <v>0</v>
      </c>
      <c r="C75">
        <f t="shared" si="8"/>
        <v>1</v>
      </c>
      <c r="D75">
        <f t="shared" si="9"/>
        <v>0</v>
      </c>
      <c r="E75">
        <f t="shared" si="10"/>
        <v>0</v>
      </c>
      <c r="F75">
        <f t="shared" si="11"/>
        <v>0</v>
      </c>
      <c r="G75">
        <f t="shared" si="12"/>
        <v>1</v>
      </c>
      <c r="H75">
        <f t="shared" si="13"/>
        <v>0</v>
      </c>
    </row>
    <row r="76" spans="1:8">
      <c r="A76" s="1" t="s">
        <v>33</v>
      </c>
      <c r="B76" s="1">
        <f t="shared" si="7"/>
        <v>1</v>
      </c>
      <c r="C76">
        <f t="shared" si="8"/>
        <v>1</v>
      </c>
      <c r="D76">
        <f t="shared" si="9"/>
        <v>0</v>
      </c>
      <c r="E76">
        <f t="shared" si="10"/>
        <v>0</v>
      </c>
      <c r="F76">
        <f t="shared" si="11"/>
        <v>1</v>
      </c>
      <c r="G76">
        <f t="shared" si="12"/>
        <v>0</v>
      </c>
      <c r="H76">
        <f t="shared" si="13"/>
        <v>0</v>
      </c>
    </row>
    <row r="77" spans="1:8">
      <c r="A77" s="1" t="s">
        <v>90</v>
      </c>
      <c r="B77" s="1">
        <f t="shared" si="7"/>
        <v>0</v>
      </c>
      <c r="C77">
        <f t="shared" si="8"/>
        <v>1</v>
      </c>
      <c r="D77">
        <f t="shared" si="9"/>
        <v>1</v>
      </c>
      <c r="E77">
        <f t="shared" si="10"/>
        <v>0</v>
      </c>
      <c r="F77">
        <f t="shared" si="11"/>
        <v>0</v>
      </c>
      <c r="G77">
        <f t="shared" si="12"/>
        <v>0</v>
      </c>
      <c r="H77">
        <f t="shared" si="13"/>
        <v>0</v>
      </c>
    </row>
    <row r="78" spans="1:8">
      <c r="A78" s="1" t="s">
        <v>92</v>
      </c>
      <c r="B78" s="1">
        <f t="shared" si="7"/>
        <v>0</v>
      </c>
      <c r="C78">
        <f t="shared" si="8"/>
        <v>0</v>
      </c>
      <c r="D78">
        <f t="shared" si="9"/>
        <v>0</v>
      </c>
      <c r="E78">
        <f t="shared" si="10"/>
        <v>0</v>
      </c>
      <c r="F78">
        <f t="shared" si="11"/>
        <v>1</v>
      </c>
      <c r="G78">
        <f t="shared" si="12"/>
        <v>0</v>
      </c>
      <c r="H78">
        <f t="shared" si="13"/>
        <v>1</v>
      </c>
    </row>
    <row r="79" spans="1:8">
      <c r="A79" s="1" t="s">
        <v>71</v>
      </c>
      <c r="B79" s="1">
        <f t="shared" si="7"/>
        <v>0</v>
      </c>
      <c r="C79">
        <f t="shared" si="8"/>
        <v>1</v>
      </c>
      <c r="D79">
        <f t="shared" si="9"/>
        <v>0</v>
      </c>
      <c r="E79">
        <f t="shared" si="10"/>
        <v>0</v>
      </c>
      <c r="F79">
        <f t="shared" si="11"/>
        <v>0</v>
      </c>
      <c r="G79">
        <f t="shared" si="12"/>
        <v>1</v>
      </c>
      <c r="H79">
        <f t="shared" si="13"/>
        <v>0</v>
      </c>
    </row>
    <row r="80" spans="1:8">
      <c r="A80" s="1" t="s">
        <v>99</v>
      </c>
      <c r="B80" s="1">
        <f t="shared" si="7"/>
        <v>1</v>
      </c>
      <c r="C80">
        <f t="shared" si="8"/>
        <v>1</v>
      </c>
      <c r="D80">
        <f t="shared" si="9"/>
        <v>0</v>
      </c>
      <c r="E80">
        <f t="shared" si="10"/>
        <v>0</v>
      </c>
      <c r="F80">
        <f t="shared" si="11"/>
        <v>0</v>
      </c>
      <c r="G80">
        <f t="shared" si="12"/>
        <v>0</v>
      </c>
      <c r="H80">
        <f t="shared" si="13"/>
        <v>0</v>
      </c>
    </row>
    <row r="81" spans="1:8">
      <c r="A81" s="1" t="s">
        <v>97</v>
      </c>
      <c r="B81" s="1">
        <f t="shared" si="7"/>
        <v>0</v>
      </c>
      <c r="C81">
        <f t="shared" si="8"/>
        <v>0</v>
      </c>
      <c r="D81">
        <f t="shared" si="9"/>
        <v>0</v>
      </c>
      <c r="E81">
        <f t="shared" si="10"/>
        <v>1</v>
      </c>
      <c r="F81">
        <f t="shared" si="11"/>
        <v>1</v>
      </c>
      <c r="G81">
        <f t="shared" si="12"/>
        <v>0</v>
      </c>
      <c r="H81">
        <f t="shared" si="13"/>
        <v>0</v>
      </c>
    </row>
    <row r="82" spans="1:8">
      <c r="A82" s="1" t="s">
        <v>95</v>
      </c>
      <c r="B82" s="1">
        <f t="shared" si="7"/>
        <v>1</v>
      </c>
      <c r="C82">
        <f t="shared" si="8"/>
        <v>0</v>
      </c>
      <c r="D82">
        <f t="shared" si="9"/>
        <v>1</v>
      </c>
      <c r="E82">
        <f t="shared" si="10"/>
        <v>0</v>
      </c>
      <c r="F82">
        <f t="shared" si="11"/>
        <v>0</v>
      </c>
      <c r="G82">
        <f t="shared" si="12"/>
        <v>0</v>
      </c>
      <c r="H82">
        <f t="shared" si="13"/>
        <v>0</v>
      </c>
    </row>
    <row r="83" spans="1:8">
      <c r="A83" s="1" t="s">
        <v>98</v>
      </c>
      <c r="B83" s="1">
        <f t="shared" si="7"/>
        <v>0</v>
      </c>
      <c r="C83">
        <f t="shared" si="8"/>
        <v>1</v>
      </c>
      <c r="D83">
        <f t="shared" si="9"/>
        <v>0</v>
      </c>
      <c r="E83">
        <f t="shared" si="10"/>
        <v>0</v>
      </c>
      <c r="F83">
        <f t="shared" si="11"/>
        <v>0</v>
      </c>
      <c r="G83">
        <f t="shared" si="12"/>
        <v>1</v>
      </c>
      <c r="H83">
        <f t="shared" si="13"/>
        <v>0</v>
      </c>
    </row>
    <row r="84" spans="1:8">
      <c r="A84" s="1" t="s">
        <v>57</v>
      </c>
      <c r="B84" s="1">
        <f t="shared" si="7"/>
        <v>0</v>
      </c>
      <c r="C84">
        <f t="shared" si="8"/>
        <v>0</v>
      </c>
      <c r="D84">
        <f t="shared" si="9"/>
        <v>0</v>
      </c>
      <c r="E84">
        <f t="shared" si="10"/>
        <v>0</v>
      </c>
      <c r="F84">
        <f t="shared" si="11"/>
        <v>1</v>
      </c>
      <c r="G84">
        <f t="shared" si="12"/>
        <v>0</v>
      </c>
      <c r="H84">
        <f t="shared" si="13"/>
        <v>1</v>
      </c>
    </row>
    <row r="85" spans="1:8">
      <c r="A85" s="1" t="s">
        <v>83</v>
      </c>
      <c r="B85" s="1">
        <f t="shared" si="7"/>
        <v>1</v>
      </c>
      <c r="C85">
        <f t="shared" si="8"/>
        <v>1</v>
      </c>
      <c r="D85">
        <f t="shared" si="9"/>
        <v>0</v>
      </c>
      <c r="E85">
        <f t="shared" si="10"/>
        <v>0</v>
      </c>
      <c r="F85">
        <f t="shared" si="11"/>
        <v>0</v>
      </c>
      <c r="G85">
        <f t="shared" si="12"/>
        <v>1</v>
      </c>
      <c r="H85">
        <f t="shared" si="13"/>
        <v>0</v>
      </c>
    </row>
    <row r="86" spans="1:8">
      <c r="A86" s="1" t="s">
        <v>57</v>
      </c>
      <c r="B86" s="1">
        <f t="shared" si="7"/>
        <v>0</v>
      </c>
      <c r="C86">
        <f t="shared" si="8"/>
        <v>0</v>
      </c>
      <c r="D86">
        <f t="shared" si="9"/>
        <v>0</v>
      </c>
      <c r="E86">
        <f t="shared" si="10"/>
        <v>0</v>
      </c>
      <c r="F86">
        <f t="shared" si="11"/>
        <v>1</v>
      </c>
      <c r="G86">
        <f t="shared" si="12"/>
        <v>0</v>
      </c>
      <c r="H86">
        <f t="shared" si="13"/>
        <v>1</v>
      </c>
    </row>
    <row r="87" spans="1:8">
      <c r="A87" s="1" t="s">
        <v>100</v>
      </c>
      <c r="B87" s="1">
        <f t="shared" si="7"/>
        <v>0</v>
      </c>
      <c r="C87">
        <f t="shared" si="8"/>
        <v>0</v>
      </c>
      <c r="D87">
        <f t="shared" si="9"/>
        <v>1</v>
      </c>
      <c r="E87">
        <f t="shared" si="10"/>
        <v>0</v>
      </c>
      <c r="F87">
        <f t="shared" si="11"/>
        <v>0</v>
      </c>
      <c r="G87">
        <f t="shared" si="12"/>
        <v>1</v>
      </c>
      <c r="H87">
        <f t="shared" si="13"/>
        <v>0</v>
      </c>
    </row>
    <row r="88" spans="1:8">
      <c r="A88" s="1" t="s">
        <v>92</v>
      </c>
      <c r="B88" s="1">
        <f t="shared" si="7"/>
        <v>0</v>
      </c>
      <c r="C88">
        <f t="shared" si="8"/>
        <v>0</v>
      </c>
      <c r="D88">
        <f t="shared" si="9"/>
        <v>0</v>
      </c>
      <c r="E88">
        <f t="shared" si="10"/>
        <v>0</v>
      </c>
      <c r="F88">
        <f t="shared" si="11"/>
        <v>1</v>
      </c>
      <c r="G88">
        <f t="shared" si="12"/>
        <v>0</v>
      </c>
      <c r="H88">
        <f t="shared" si="13"/>
        <v>1</v>
      </c>
    </row>
    <row r="89" spans="1:8">
      <c r="A89" s="1" t="s">
        <v>99</v>
      </c>
      <c r="B89" s="1">
        <f t="shared" si="7"/>
        <v>1</v>
      </c>
      <c r="C89">
        <f t="shared" si="8"/>
        <v>1</v>
      </c>
      <c r="D89">
        <f t="shared" si="9"/>
        <v>0</v>
      </c>
      <c r="E89">
        <f t="shared" si="10"/>
        <v>0</v>
      </c>
      <c r="F89">
        <f t="shared" si="11"/>
        <v>0</v>
      </c>
      <c r="G89">
        <f t="shared" si="12"/>
        <v>0</v>
      </c>
      <c r="H89">
        <f t="shared" si="13"/>
        <v>0</v>
      </c>
    </row>
    <row r="90" spans="1:8">
      <c r="A90" s="1" t="s">
        <v>98</v>
      </c>
      <c r="B90" s="1">
        <f t="shared" si="7"/>
        <v>0</v>
      </c>
      <c r="C90">
        <f t="shared" si="8"/>
        <v>1</v>
      </c>
      <c r="D90">
        <f t="shared" si="9"/>
        <v>0</v>
      </c>
      <c r="E90">
        <f t="shared" si="10"/>
        <v>0</v>
      </c>
      <c r="F90">
        <f t="shared" si="11"/>
        <v>0</v>
      </c>
      <c r="G90">
        <f t="shared" si="12"/>
        <v>1</v>
      </c>
      <c r="H90">
        <f t="shared" si="13"/>
        <v>0</v>
      </c>
    </row>
    <row r="91" spans="1:8">
      <c r="A91" s="1" t="s">
        <v>57</v>
      </c>
      <c r="B91" s="1">
        <f t="shared" si="7"/>
        <v>0</v>
      </c>
      <c r="C91">
        <f t="shared" si="8"/>
        <v>0</v>
      </c>
      <c r="D91">
        <f t="shared" si="9"/>
        <v>0</v>
      </c>
      <c r="E91">
        <f t="shared" si="10"/>
        <v>0</v>
      </c>
      <c r="F91">
        <f t="shared" si="11"/>
        <v>1</v>
      </c>
      <c r="G91">
        <f t="shared" si="12"/>
        <v>0</v>
      </c>
      <c r="H91">
        <f t="shared" si="13"/>
        <v>1</v>
      </c>
    </row>
    <row r="92" spans="1:8">
      <c r="A92" s="1" t="s">
        <v>101</v>
      </c>
      <c r="B92" s="1">
        <f t="shared" si="7"/>
        <v>0</v>
      </c>
      <c r="C92">
        <f t="shared" si="8"/>
        <v>0</v>
      </c>
      <c r="D92">
        <f t="shared" si="9"/>
        <v>1</v>
      </c>
      <c r="E92">
        <f t="shared" si="10"/>
        <v>0</v>
      </c>
      <c r="F92">
        <f t="shared" si="11"/>
        <v>0</v>
      </c>
      <c r="G92">
        <f t="shared" si="12"/>
        <v>1</v>
      </c>
      <c r="H92">
        <f t="shared" si="13"/>
        <v>0</v>
      </c>
    </row>
    <row r="93" spans="1:8">
      <c r="A93" s="1" t="s">
        <v>99</v>
      </c>
      <c r="B93" s="1">
        <f t="shared" si="7"/>
        <v>1</v>
      </c>
      <c r="C93">
        <f t="shared" si="8"/>
        <v>1</v>
      </c>
      <c r="D93">
        <f t="shared" si="9"/>
        <v>0</v>
      </c>
      <c r="E93">
        <f t="shared" si="10"/>
        <v>0</v>
      </c>
      <c r="F93">
        <f t="shared" si="11"/>
        <v>0</v>
      </c>
      <c r="G93">
        <f t="shared" si="12"/>
        <v>0</v>
      </c>
      <c r="H93">
        <f t="shared" si="13"/>
        <v>0</v>
      </c>
    </row>
    <row r="94" spans="1:8">
      <c r="A94" s="1" t="s">
        <v>92</v>
      </c>
      <c r="B94" s="1">
        <f t="shared" si="7"/>
        <v>0</v>
      </c>
      <c r="C94">
        <f t="shared" si="8"/>
        <v>0</v>
      </c>
      <c r="D94">
        <f t="shared" si="9"/>
        <v>0</v>
      </c>
      <c r="E94">
        <f t="shared" si="10"/>
        <v>0</v>
      </c>
      <c r="F94">
        <f t="shared" si="11"/>
        <v>1</v>
      </c>
      <c r="G94">
        <f t="shared" si="12"/>
        <v>0</v>
      </c>
      <c r="H94">
        <f t="shared" si="13"/>
        <v>1</v>
      </c>
    </row>
    <row r="95" spans="1:8">
      <c r="A95" s="1" t="s">
        <v>97</v>
      </c>
      <c r="B95" s="1">
        <f t="shared" si="7"/>
        <v>0</v>
      </c>
      <c r="C95">
        <f t="shared" si="8"/>
        <v>0</v>
      </c>
      <c r="D95">
        <f t="shared" si="9"/>
        <v>0</v>
      </c>
      <c r="E95">
        <f t="shared" si="10"/>
        <v>1</v>
      </c>
      <c r="F95">
        <f t="shared" si="11"/>
        <v>1</v>
      </c>
      <c r="G95">
        <f t="shared" si="12"/>
        <v>0</v>
      </c>
      <c r="H95">
        <f t="shared" si="13"/>
        <v>0</v>
      </c>
    </row>
    <row r="96" spans="1:8">
      <c r="A96" s="1" t="s">
        <v>100</v>
      </c>
      <c r="B96" s="1">
        <f t="shared" si="7"/>
        <v>0</v>
      </c>
      <c r="C96">
        <f t="shared" si="8"/>
        <v>0</v>
      </c>
      <c r="D96">
        <f t="shared" si="9"/>
        <v>1</v>
      </c>
      <c r="E96">
        <f t="shared" si="10"/>
        <v>0</v>
      </c>
      <c r="F96">
        <f t="shared" si="11"/>
        <v>0</v>
      </c>
      <c r="G96">
        <f t="shared" si="12"/>
        <v>1</v>
      </c>
      <c r="H96">
        <f t="shared" si="13"/>
        <v>0</v>
      </c>
    </row>
    <row r="97" spans="1:8">
      <c r="A97" s="1" t="s">
        <v>57</v>
      </c>
      <c r="B97" s="1">
        <f t="shared" si="7"/>
        <v>0</v>
      </c>
      <c r="C97">
        <f t="shared" si="8"/>
        <v>0</v>
      </c>
      <c r="D97">
        <f t="shared" si="9"/>
        <v>0</v>
      </c>
      <c r="E97">
        <f t="shared" si="10"/>
        <v>0</v>
      </c>
      <c r="F97">
        <f t="shared" si="11"/>
        <v>1</v>
      </c>
      <c r="G97">
        <f t="shared" si="12"/>
        <v>0</v>
      </c>
      <c r="H97">
        <f t="shared" si="13"/>
        <v>1</v>
      </c>
    </row>
    <row r="98" spans="1:8">
      <c r="A98" s="1" t="s">
        <v>99</v>
      </c>
      <c r="B98" s="1">
        <f t="shared" si="7"/>
        <v>1</v>
      </c>
      <c r="C98">
        <f t="shared" si="8"/>
        <v>1</v>
      </c>
      <c r="D98">
        <f t="shared" si="9"/>
        <v>0</v>
      </c>
      <c r="E98">
        <f t="shared" si="10"/>
        <v>0</v>
      </c>
      <c r="F98">
        <f t="shared" si="11"/>
        <v>0</v>
      </c>
      <c r="G98">
        <f t="shared" si="12"/>
        <v>0</v>
      </c>
      <c r="H98">
        <f t="shared" si="13"/>
        <v>0</v>
      </c>
    </row>
    <row r="99" spans="1:8">
      <c r="A99" s="1" t="s">
        <v>98</v>
      </c>
      <c r="B99" s="1">
        <f t="shared" si="7"/>
        <v>0</v>
      </c>
      <c r="C99">
        <f t="shared" si="8"/>
        <v>1</v>
      </c>
      <c r="D99">
        <f t="shared" si="9"/>
        <v>0</v>
      </c>
      <c r="E99">
        <f t="shared" si="10"/>
        <v>0</v>
      </c>
      <c r="F99">
        <f t="shared" si="11"/>
        <v>0</v>
      </c>
      <c r="G99">
        <f t="shared" si="12"/>
        <v>1</v>
      </c>
      <c r="H99">
        <f t="shared" si="13"/>
        <v>0</v>
      </c>
    </row>
    <row r="100" spans="1:8">
      <c r="A100" s="1" t="s">
        <v>57</v>
      </c>
      <c r="B100" s="1">
        <f t="shared" si="7"/>
        <v>0</v>
      </c>
      <c r="C100">
        <f t="shared" si="8"/>
        <v>0</v>
      </c>
      <c r="D100">
        <f t="shared" si="9"/>
        <v>0</v>
      </c>
      <c r="E100">
        <f t="shared" si="10"/>
        <v>0</v>
      </c>
      <c r="F100">
        <f t="shared" si="11"/>
        <v>1</v>
      </c>
      <c r="G100">
        <f t="shared" si="12"/>
        <v>0</v>
      </c>
      <c r="H100">
        <f t="shared" si="13"/>
        <v>1</v>
      </c>
    </row>
    <row r="101" spans="1:8">
      <c r="A101" s="1" t="s">
        <v>101</v>
      </c>
      <c r="B101" s="1">
        <f t="shared" si="7"/>
        <v>0</v>
      </c>
      <c r="C101">
        <f t="shared" si="8"/>
        <v>0</v>
      </c>
      <c r="D101">
        <f t="shared" si="9"/>
        <v>1</v>
      </c>
      <c r="E101">
        <f t="shared" si="10"/>
        <v>0</v>
      </c>
      <c r="F101">
        <f t="shared" si="11"/>
        <v>0</v>
      </c>
      <c r="G101">
        <f t="shared" si="12"/>
        <v>1</v>
      </c>
      <c r="H101">
        <f t="shared" si="13"/>
        <v>0</v>
      </c>
    </row>
    <row r="102" spans="1:8">
      <c r="A102" s="1" t="s">
        <v>33</v>
      </c>
      <c r="B102" s="1">
        <f t="shared" si="7"/>
        <v>1</v>
      </c>
      <c r="C102">
        <f t="shared" si="8"/>
        <v>1</v>
      </c>
      <c r="D102">
        <f t="shared" si="9"/>
        <v>0</v>
      </c>
      <c r="E102">
        <f t="shared" si="10"/>
        <v>0</v>
      </c>
      <c r="F102">
        <f t="shared" si="11"/>
        <v>1</v>
      </c>
      <c r="G102">
        <f t="shared" si="12"/>
        <v>0</v>
      </c>
      <c r="H102">
        <f t="shared" si="13"/>
        <v>0</v>
      </c>
    </row>
    <row r="103" spans="1:8">
      <c r="A103" s="1" t="s">
        <v>57</v>
      </c>
      <c r="B103" s="1">
        <f t="shared" si="7"/>
        <v>0</v>
      </c>
      <c r="C103">
        <f t="shared" si="8"/>
        <v>0</v>
      </c>
      <c r="D103">
        <f t="shared" si="9"/>
        <v>0</v>
      </c>
      <c r="E103">
        <f t="shared" si="10"/>
        <v>0</v>
      </c>
      <c r="F103">
        <f t="shared" si="11"/>
        <v>1</v>
      </c>
      <c r="G103">
        <f t="shared" si="12"/>
        <v>0</v>
      </c>
      <c r="H103">
        <f t="shared" si="13"/>
        <v>1</v>
      </c>
    </row>
    <row r="104" spans="1:8">
      <c r="A104" s="1" t="s">
        <v>78</v>
      </c>
      <c r="B104" s="1">
        <f t="shared" si="7"/>
        <v>0</v>
      </c>
      <c r="C104">
        <f t="shared" si="8"/>
        <v>0</v>
      </c>
      <c r="D104">
        <f t="shared" si="9"/>
        <v>0</v>
      </c>
      <c r="E104">
        <f t="shared" si="10"/>
        <v>1</v>
      </c>
      <c r="F104">
        <f t="shared" si="11"/>
        <v>1</v>
      </c>
      <c r="G104">
        <f t="shared" si="12"/>
        <v>0</v>
      </c>
      <c r="H104">
        <f t="shared" si="13"/>
        <v>0</v>
      </c>
    </row>
    <row r="105" spans="1:8">
      <c r="A105" s="1" t="s">
        <v>98</v>
      </c>
      <c r="B105" s="1">
        <f t="shared" si="7"/>
        <v>0</v>
      </c>
      <c r="C105">
        <f t="shared" si="8"/>
        <v>1</v>
      </c>
      <c r="D105">
        <f t="shared" si="9"/>
        <v>0</v>
      </c>
      <c r="E105">
        <f t="shared" si="10"/>
        <v>0</v>
      </c>
      <c r="F105">
        <f t="shared" si="11"/>
        <v>0</v>
      </c>
      <c r="G105">
        <f t="shared" si="12"/>
        <v>1</v>
      </c>
      <c r="H105">
        <f t="shared" si="13"/>
        <v>0</v>
      </c>
    </row>
    <row r="106" spans="1:8">
      <c r="A106" s="1" t="s">
        <v>33</v>
      </c>
      <c r="B106" s="1">
        <f t="shared" si="7"/>
        <v>1</v>
      </c>
      <c r="C106">
        <f t="shared" si="8"/>
        <v>1</v>
      </c>
      <c r="D106">
        <f t="shared" si="9"/>
        <v>0</v>
      </c>
      <c r="E106">
        <f t="shared" si="10"/>
        <v>0</v>
      </c>
      <c r="F106">
        <f t="shared" si="11"/>
        <v>1</v>
      </c>
      <c r="G106">
        <f t="shared" si="12"/>
        <v>0</v>
      </c>
      <c r="H106">
        <f t="shared" si="13"/>
        <v>0</v>
      </c>
    </row>
    <row r="107" spans="1:8">
      <c r="A107" s="1" t="s">
        <v>90</v>
      </c>
      <c r="B107" s="1">
        <f t="shared" si="7"/>
        <v>0</v>
      </c>
      <c r="C107">
        <f t="shared" si="8"/>
        <v>1</v>
      </c>
      <c r="D107">
        <f t="shared" si="9"/>
        <v>1</v>
      </c>
      <c r="E107">
        <f t="shared" si="10"/>
        <v>0</v>
      </c>
      <c r="F107">
        <f t="shared" si="11"/>
        <v>0</v>
      </c>
      <c r="G107">
        <f t="shared" si="12"/>
        <v>0</v>
      </c>
      <c r="H107">
        <f t="shared" si="13"/>
        <v>0</v>
      </c>
    </row>
    <row r="108" spans="1:8">
      <c r="A108" s="1" t="s">
        <v>92</v>
      </c>
      <c r="B108" s="1">
        <f t="shared" si="7"/>
        <v>0</v>
      </c>
      <c r="C108">
        <f t="shared" si="8"/>
        <v>0</v>
      </c>
      <c r="D108">
        <f t="shared" si="9"/>
        <v>0</v>
      </c>
      <c r="E108">
        <f t="shared" si="10"/>
        <v>0</v>
      </c>
      <c r="F108">
        <f t="shared" si="11"/>
        <v>1</v>
      </c>
      <c r="G108">
        <f t="shared" si="12"/>
        <v>0</v>
      </c>
      <c r="H108">
        <f t="shared" si="13"/>
        <v>1</v>
      </c>
    </row>
    <row r="109" spans="1:8">
      <c r="A109" s="1" t="s">
        <v>71</v>
      </c>
      <c r="B109" s="1">
        <f t="shared" si="7"/>
        <v>0</v>
      </c>
      <c r="C109">
        <f t="shared" si="8"/>
        <v>1</v>
      </c>
      <c r="D109">
        <f t="shared" si="9"/>
        <v>0</v>
      </c>
      <c r="E109">
        <f t="shared" si="10"/>
        <v>0</v>
      </c>
      <c r="F109">
        <f t="shared" si="11"/>
        <v>0</v>
      </c>
      <c r="G109">
        <f t="shared" si="12"/>
        <v>1</v>
      </c>
      <c r="H109">
        <f t="shared" si="13"/>
        <v>0</v>
      </c>
    </row>
    <row r="110" spans="1:8">
      <c r="A110" s="1" t="s">
        <v>99</v>
      </c>
      <c r="B110" s="1">
        <f t="shared" si="7"/>
        <v>1</v>
      </c>
      <c r="C110">
        <f t="shared" si="8"/>
        <v>1</v>
      </c>
      <c r="D110">
        <f t="shared" si="9"/>
        <v>0</v>
      </c>
      <c r="E110">
        <f t="shared" si="10"/>
        <v>0</v>
      </c>
      <c r="F110">
        <f t="shared" si="11"/>
        <v>0</v>
      </c>
      <c r="G110">
        <f t="shared" si="12"/>
        <v>0</v>
      </c>
      <c r="H110">
        <f t="shared" si="13"/>
        <v>0</v>
      </c>
    </row>
    <row r="111" spans="1:8">
      <c r="A111" s="1" t="s">
        <v>97</v>
      </c>
      <c r="B111" s="1">
        <f t="shared" si="7"/>
        <v>0</v>
      </c>
      <c r="C111">
        <f t="shared" si="8"/>
        <v>0</v>
      </c>
      <c r="D111">
        <f t="shared" si="9"/>
        <v>0</v>
      </c>
      <c r="E111">
        <f t="shared" si="10"/>
        <v>1</v>
      </c>
      <c r="F111">
        <f t="shared" si="11"/>
        <v>1</v>
      </c>
      <c r="G111">
        <f t="shared" si="12"/>
        <v>0</v>
      </c>
      <c r="H111">
        <f t="shared" si="13"/>
        <v>0</v>
      </c>
    </row>
    <row r="112" spans="1:8">
      <c r="A112" s="1" t="s">
        <v>95</v>
      </c>
      <c r="B112" s="1">
        <f t="shared" si="7"/>
        <v>1</v>
      </c>
      <c r="C112">
        <f t="shared" si="8"/>
        <v>0</v>
      </c>
      <c r="D112">
        <f t="shared" si="9"/>
        <v>1</v>
      </c>
      <c r="E112">
        <f t="shared" si="10"/>
        <v>0</v>
      </c>
      <c r="F112">
        <f t="shared" si="11"/>
        <v>0</v>
      </c>
      <c r="G112">
        <f t="shared" si="12"/>
        <v>0</v>
      </c>
      <c r="H112">
        <f t="shared" si="13"/>
        <v>0</v>
      </c>
    </row>
    <row r="113" spans="1:8">
      <c r="A113" s="1" t="s">
        <v>98</v>
      </c>
      <c r="B113" s="1">
        <f t="shared" si="7"/>
        <v>0</v>
      </c>
      <c r="C113">
        <f t="shared" si="8"/>
        <v>1</v>
      </c>
      <c r="D113">
        <f t="shared" si="9"/>
        <v>0</v>
      </c>
      <c r="E113">
        <f t="shared" si="10"/>
        <v>0</v>
      </c>
      <c r="F113">
        <f t="shared" si="11"/>
        <v>0</v>
      </c>
      <c r="G113">
        <f t="shared" si="12"/>
        <v>1</v>
      </c>
      <c r="H113">
        <f t="shared" si="13"/>
        <v>0</v>
      </c>
    </row>
    <row r="114" spans="1:8">
      <c r="A114" s="1" t="s">
        <v>57</v>
      </c>
      <c r="B114" s="1">
        <f t="shared" si="7"/>
        <v>0</v>
      </c>
      <c r="C114">
        <f t="shared" si="8"/>
        <v>0</v>
      </c>
      <c r="D114">
        <f t="shared" si="9"/>
        <v>0</v>
      </c>
      <c r="E114">
        <f t="shared" si="10"/>
        <v>0</v>
      </c>
      <c r="F114">
        <f t="shared" si="11"/>
        <v>1</v>
      </c>
      <c r="G114">
        <f t="shared" si="12"/>
        <v>0</v>
      </c>
      <c r="H114">
        <f t="shared" si="13"/>
        <v>1</v>
      </c>
    </row>
    <row r="115" spans="1:8">
      <c r="A115" s="1" t="s">
        <v>83</v>
      </c>
      <c r="B115" s="1">
        <f t="shared" si="7"/>
        <v>1</v>
      </c>
      <c r="C115">
        <f t="shared" si="8"/>
        <v>1</v>
      </c>
      <c r="D115">
        <f t="shared" si="9"/>
        <v>0</v>
      </c>
      <c r="E115">
        <f t="shared" si="10"/>
        <v>0</v>
      </c>
      <c r="F115">
        <f t="shared" si="11"/>
        <v>0</v>
      </c>
      <c r="G115">
        <f t="shared" si="12"/>
        <v>1</v>
      </c>
      <c r="H115">
        <f t="shared" si="13"/>
        <v>0</v>
      </c>
    </row>
    <row r="116" spans="1:8">
      <c r="A116" s="1" t="s">
        <v>57</v>
      </c>
      <c r="B116" s="1">
        <f t="shared" si="7"/>
        <v>0</v>
      </c>
      <c r="C116">
        <f t="shared" si="8"/>
        <v>0</v>
      </c>
      <c r="D116">
        <f t="shared" si="9"/>
        <v>0</v>
      </c>
      <c r="E116">
        <f t="shared" si="10"/>
        <v>0</v>
      </c>
      <c r="F116">
        <f t="shared" si="11"/>
        <v>1</v>
      </c>
      <c r="G116">
        <f t="shared" si="12"/>
        <v>0</v>
      </c>
      <c r="H116">
        <f t="shared" si="13"/>
        <v>1</v>
      </c>
    </row>
    <row r="117" spans="1:8">
      <c r="A117" s="5" t="s">
        <v>119</v>
      </c>
      <c r="B117" s="6">
        <f>SUM(B2:B116)</f>
        <v>32</v>
      </c>
      <c r="C117" s="6">
        <f t="shared" ref="C117:H117" si="14">SUM(C2:C116)</f>
        <v>53</v>
      </c>
      <c r="D117" s="6">
        <f t="shared" si="14"/>
        <v>25</v>
      </c>
      <c r="E117" s="6">
        <f t="shared" si="14"/>
        <v>13</v>
      </c>
      <c r="F117" s="6">
        <f t="shared" si="14"/>
        <v>55</v>
      </c>
      <c r="G117" s="6">
        <f t="shared" si="14"/>
        <v>37</v>
      </c>
      <c r="H117" s="6">
        <f t="shared" si="14"/>
        <v>31</v>
      </c>
    </row>
    <row r="118" spans="1:8">
      <c r="A118" s="5" t="s">
        <v>115</v>
      </c>
      <c r="B118" s="6">
        <f>B117/115*100</f>
        <v>27.826086956521738</v>
      </c>
      <c r="C118" s="6">
        <f t="shared" ref="C118:G118" si="15">C117/115*100</f>
        <v>46.086956521739133</v>
      </c>
      <c r="D118" s="6">
        <f t="shared" si="15"/>
        <v>21.739130434782609</v>
      </c>
      <c r="E118" s="6">
        <f t="shared" si="15"/>
        <v>11.304347826086957</v>
      </c>
      <c r="F118" s="6">
        <f t="shared" si="15"/>
        <v>47.826086956521742</v>
      </c>
      <c r="G118" s="6">
        <f t="shared" si="15"/>
        <v>32.173913043478258</v>
      </c>
      <c r="H118" s="6">
        <f>H117/115*100</f>
        <v>26.956521739130434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100D8-13E8-3044-B7F8-29945CF00CBC}">
  <dimension ref="A1:L118"/>
  <sheetViews>
    <sheetView workbookViewId="0">
      <selection activeCell="M6" sqref="M6"/>
    </sheetView>
  </sheetViews>
  <sheetFormatPr baseColWidth="10" defaultRowHeight="16"/>
  <cols>
    <col min="1" max="1" width="58.83203125" bestFit="1" customWidth="1"/>
    <col min="3" max="3" width="17.5" bestFit="1" customWidth="1"/>
    <col min="4" max="4" width="25.5" bestFit="1" customWidth="1"/>
    <col min="5" max="5" width="17.33203125" bestFit="1" customWidth="1"/>
    <col min="6" max="6" width="13.5" bestFit="1" customWidth="1"/>
    <col min="10" max="10" width="25.5" bestFit="1" customWidth="1"/>
  </cols>
  <sheetData>
    <row r="1" spans="1:12">
      <c r="A1" s="1" t="s">
        <v>14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J1" s="3" t="s">
        <v>116</v>
      </c>
      <c r="K1" s="3" t="s">
        <v>117</v>
      </c>
      <c r="L1" s="3" t="s">
        <v>118</v>
      </c>
    </row>
    <row r="2" spans="1:12" ht="17">
      <c r="A2" s="1" t="s">
        <v>36</v>
      </c>
      <c r="B2">
        <f>IF(ISNUMBER(SEARCH("Higher profit",A2)),1,0)</f>
        <v>1</v>
      </c>
      <c r="C2">
        <f>IF(ISNUMBER(SEARCH("Better price control",A2)),1,0)</f>
        <v>1</v>
      </c>
      <c r="D2">
        <f>IF(ISNUMBER(SEARCH("Direct customer relationship",A2)),1,0)</f>
        <v>0</v>
      </c>
      <c r="E2">
        <f>IF(ISNUMBER(SEARCH("Immediate payment",A2)),1,0)</f>
        <v>0</v>
      </c>
      <c r="F2">
        <f>IF(ISNUMBER(SEARCH("Better demand",A2)),1,0)</f>
        <v>0</v>
      </c>
      <c r="J2" s="1" t="s">
        <v>121</v>
      </c>
      <c r="K2" s="4">
        <f>B117</f>
        <v>56</v>
      </c>
      <c r="L2" s="4">
        <f>B117/115*100</f>
        <v>48.695652173913047</v>
      </c>
    </row>
    <row r="3" spans="1:12" ht="17">
      <c r="A3" s="1" t="s">
        <v>46</v>
      </c>
      <c r="B3">
        <f t="shared" ref="B3:B66" si="0">IF(ISNUMBER(SEARCH("Higher profit",A3)),1,0)</f>
        <v>1</v>
      </c>
      <c r="C3">
        <f t="shared" ref="C3:C66" si="1">IF(ISNUMBER(SEARCH("Better price control",A3)),1,0)</f>
        <v>0</v>
      </c>
      <c r="D3">
        <f t="shared" ref="D3:D66" si="2">IF(ISNUMBER(SEARCH("Direct customer relationship",A3)),1,0)</f>
        <v>0</v>
      </c>
      <c r="E3">
        <f t="shared" ref="E3:E66" si="3">IF(ISNUMBER(SEARCH("Immediate payment",A3)),1,0)</f>
        <v>1</v>
      </c>
      <c r="F3">
        <f t="shared" ref="F3:F66" si="4">IF(ISNUMBER(SEARCH("Better demand",A3)),1,0)</f>
        <v>0</v>
      </c>
      <c r="J3" s="1" t="s">
        <v>122</v>
      </c>
      <c r="K3" s="4">
        <f>C117</f>
        <v>15</v>
      </c>
      <c r="L3" s="4">
        <f>C117/115*100</f>
        <v>13.043478260869565</v>
      </c>
    </row>
    <row r="4" spans="1:12" ht="17">
      <c r="A4" s="1" t="s">
        <v>58</v>
      </c>
      <c r="B4">
        <f t="shared" si="0"/>
        <v>0</v>
      </c>
      <c r="C4">
        <f t="shared" si="1"/>
        <v>0</v>
      </c>
      <c r="D4">
        <f t="shared" si="2"/>
        <v>1</v>
      </c>
      <c r="E4">
        <f t="shared" si="3"/>
        <v>0</v>
      </c>
      <c r="F4">
        <f t="shared" si="4"/>
        <v>1</v>
      </c>
      <c r="J4" s="1" t="s">
        <v>123</v>
      </c>
      <c r="K4" s="4">
        <f>D117</f>
        <v>33</v>
      </c>
      <c r="L4" s="4">
        <f>D117/115*100</f>
        <v>28.695652173913043</v>
      </c>
    </row>
    <row r="5" spans="1:12" ht="17">
      <c r="A5" s="1" t="s">
        <v>36</v>
      </c>
      <c r="B5">
        <f t="shared" si="0"/>
        <v>1</v>
      </c>
      <c r="C5">
        <f t="shared" si="1"/>
        <v>1</v>
      </c>
      <c r="D5">
        <f t="shared" si="2"/>
        <v>0</v>
      </c>
      <c r="E5">
        <f t="shared" si="3"/>
        <v>0</v>
      </c>
      <c r="F5">
        <f t="shared" si="4"/>
        <v>0</v>
      </c>
      <c r="J5" s="1" t="s">
        <v>124</v>
      </c>
      <c r="K5" s="4">
        <f>E117</f>
        <v>55</v>
      </c>
      <c r="L5" s="4">
        <f>E117/115*100</f>
        <v>47.826086956521742</v>
      </c>
    </row>
    <row r="6" spans="1:12" ht="17">
      <c r="A6" s="1" t="s">
        <v>68</v>
      </c>
      <c r="B6">
        <f t="shared" si="0"/>
        <v>0</v>
      </c>
      <c r="C6">
        <f t="shared" si="1"/>
        <v>0</v>
      </c>
      <c r="D6">
        <f t="shared" si="2"/>
        <v>0</v>
      </c>
      <c r="E6">
        <f t="shared" si="3"/>
        <v>1</v>
      </c>
      <c r="F6">
        <f t="shared" si="4"/>
        <v>1</v>
      </c>
      <c r="J6" s="1" t="s">
        <v>125</v>
      </c>
      <c r="K6" s="4">
        <f>F117</f>
        <v>44</v>
      </c>
      <c r="L6" s="4">
        <f>F117/115*100</f>
        <v>38.260869565217391</v>
      </c>
    </row>
    <row r="7" spans="1:12">
      <c r="A7" s="1" t="s">
        <v>72</v>
      </c>
      <c r="B7">
        <f t="shared" si="0"/>
        <v>1</v>
      </c>
      <c r="C7">
        <f t="shared" si="1"/>
        <v>0</v>
      </c>
      <c r="D7">
        <f t="shared" si="2"/>
        <v>0</v>
      </c>
      <c r="E7">
        <f t="shared" si="3"/>
        <v>0</v>
      </c>
      <c r="F7">
        <f t="shared" si="4"/>
        <v>1</v>
      </c>
    </row>
    <row r="8" spans="1:12">
      <c r="A8" s="1" t="s">
        <v>79</v>
      </c>
      <c r="B8">
        <f t="shared" si="0"/>
        <v>1</v>
      </c>
      <c r="C8">
        <f t="shared" si="1"/>
        <v>0</v>
      </c>
      <c r="D8">
        <f t="shared" si="2"/>
        <v>1</v>
      </c>
      <c r="E8">
        <f t="shared" si="3"/>
        <v>0</v>
      </c>
      <c r="F8">
        <f t="shared" si="4"/>
        <v>0</v>
      </c>
    </row>
    <row r="9" spans="1:12">
      <c r="A9" s="1" t="s">
        <v>84</v>
      </c>
      <c r="B9">
        <f t="shared" si="0"/>
        <v>0</v>
      </c>
      <c r="C9">
        <f t="shared" si="1"/>
        <v>0</v>
      </c>
      <c r="D9">
        <f t="shared" si="2"/>
        <v>0</v>
      </c>
      <c r="E9">
        <f t="shared" si="3"/>
        <v>1</v>
      </c>
      <c r="F9">
        <f t="shared" si="4"/>
        <v>0</v>
      </c>
    </row>
    <row r="10" spans="1:12">
      <c r="A10" s="1" t="s">
        <v>88</v>
      </c>
      <c r="B10">
        <f t="shared" si="0"/>
        <v>0</v>
      </c>
      <c r="C10">
        <f t="shared" si="1"/>
        <v>1</v>
      </c>
      <c r="D10">
        <f t="shared" si="2"/>
        <v>1</v>
      </c>
      <c r="E10">
        <f t="shared" si="3"/>
        <v>0</v>
      </c>
      <c r="F10">
        <f t="shared" si="4"/>
        <v>0</v>
      </c>
    </row>
    <row r="11" spans="1:12">
      <c r="A11" s="1" t="s">
        <v>72</v>
      </c>
      <c r="B11">
        <f t="shared" si="0"/>
        <v>1</v>
      </c>
      <c r="C11">
        <f t="shared" si="1"/>
        <v>0</v>
      </c>
      <c r="D11">
        <f t="shared" si="2"/>
        <v>0</v>
      </c>
      <c r="E11">
        <f t="shared" si="3"/>
        <v>0</v>
      </c>
      <c r="F11">
        <f t="shared" si="4"/>
        <v>1</v>
      </c>
    </row>
    <row r="12" spans="1:12">
      <c r="A12" s="1" t="s">
        <v>84</v>
      </c>
      <c r="B12">
        <f t="shared" si="0"/>
        <v>0</v>
      </c>
      <c r="C12">
        <f t="shared" si="1"/>
        <v>0</v>
      </c>
      <c r="D12">
        <f t="shared" si="2"/>
        <v>0</v>
      </c>
      <c r="E12">
        <f t="shared" si="3"/>
        <v>1</v>
      </c>
      <c r="F12">
        <f t="shared" si="4"/>
        <v>0</v>
      </c>
    </row>
    <row r="13" spans="1:12">
      <c r="A13" s="1" t="s">
        <v>93</v>
      </c>
      <c r="B13">
        <f t="shared" si="0"/>
        <v>1</v>
      </c>
      <c r="C13">
        <f t="shared" si="1"/>
        <v>0</v>
      </c>
      <c r="D13">
        <f t="shared" si="2"/>
        <v>1</v>
      </c>
      <c r="E13">
        <f t="shared" si="3"/>
        <v>0</v>
      </c>
      <c r="F13">
        <f t="shared" si="4"/>
        <v>0</v>
      </c>
    </row>
    <row r="14" spans="1:12">
      <c r="A14" s="1" t="s">
        <v>94</v>
      </c>
      <c r="B14">
        <f t="shared" si="0"/>
        <v>1</v>
      </c>
      <c r="C14">
        <f t="shared" si="1"/>
        <v>0</v>
      </c>
      <c r="D14">
        <f t="shared" si="2"/>
        <v>0</v>
      </c>
      <c r="E14">
        <f t="shared" si="3"/>
        <v>0</v>
      </c>
      <c r="F14">
        <f t="shared" si="4"/>
        <v>1</v>
      </c>
    </row>
    <row r="15" spans="1:12">
      <c r="A15" s="1" t="s">
        <v>84</v>
      </c>
      <c r="B15">
        <f t="shared" si="0"/>
        <v>0</v>
      </c>
      <c r="C15">
        <f t="shared" si="1"/>
        <v>0</v>
      </c>
      <c r="D15">
        <f t="shared" si="2"/>
        <v>0</v>
      </c>
      <c r="E15">
        <f t="shared" si="3"/>
        <v>1</v>
      </c>
      <c r="F15">
        <f t="shared" si="4"/>
        <v>0</v>
      </c>
    </row>
    <row r="16" spans="1:12">
      <c r="A16" s="1" t="s">
        <v>88</v>
      </c>
      <c r="B16">
        <f t="shared" si="0"/>
        <v>0</v>
      </c>
      <c r="C16">
        <f t="shared" si="1"/>
        <v>1</v>
      </c>
      <c r="D16">
        <f t="shared" si="2"/>
        <v>1</v>
      </c>
      <c r="E16">
        <f t="shared" si="3"/>
        <v>0</v>
      </c>
      <c r="F16">
        <f t="shared" si="4"/>
        <v>0</v>
      </c>
    </row>
    <row r="17" spans="1:6">
      <c r="A17" s="1" t="s">
        <v>68</v>
      </c>
      <c r="B17">
        <f t="shared" si="0"/>
        <v>0</v>
      </c>
      <c r="C17">
        <f t="shared" si="1"/>
        <v>0</v>
      </c>
      <c r="D17">
        <f t="shared" si="2"/>
        <v>0</v>
      </c>
      <c r="E17">
        <f t="shared" si="3"/>
        <v>1</v>
      </c>
      <c r="F17">
        <f t="shared" si="4"/>
        <v>1</v>
      </c>
    </row>
    <row r="18" spans="1:6">
      <c r="A18" s="1" t="s">
        <v>84</v>
      </c>
      <c r="B18">
        <f t="shared" si="0"/>
        <v>0</v>
      </c>
      <c r="C18">
        <f t="shared" si="1"/>
        <v>0</v>
      </c>
      <c r="D18">
        <f t="shared" si="2"/>
        <v>0</v>
      </c>
      <c r="E18">
        <f t="shared" si="3"/>
        <v>1</v>
      </c>
      <c r="F18">
        <f t="shared" si="4"/>
        <v>0</v>
      </c>
    </row>
    <row r="19" spans="1:6">
      <c r="A19" s="1" t="s">
        <v>72</v>
      </c>
      <c r="B19">
        <f t="shared" si="0"/>
        <v>1</v>
      </c>
      <c r="C19">
        <f t="shared" si="1"/>
        <v>0</v>
      </c>
      <c r="D19">
        <f t="shared" si="2"/>
        <v>0</v>
      </c>
      <c r="E19">
        <f t="shared" si="3"/>
        <v>0</v>
      </c>
      <c r="F19">
        <f t="shared" si="4"/>
        <v>1</v>
      </c>
    </row>
    <row r="20" spans="1:6">
      <c r="A20" s="1" t="s">
        <v>36</v>
      </c>
      <c r="B20">
        <f t="shared" si="0"/>
        <v>1</v>
      </c>
      <c r="C20">
        <f t="shared" si="1"/>
        <v>1</v>
      </c>
      <c r="D20">
        <f t="shared" si="2"/>
        <v>0</v>
      </c>
      <c r="E20">
        <f t="shared" si="3"/>
        <v>0</v>
      </c>
      <c r="F20">
        <f t="shared" si="4"/>
        <v>0</v>
      </c>
    </row>
    <row r="21" spans="1:6">
      <c r="A21" s="1" t="s">
        <v>58</v>
      </c>
      <c r="B21">
        <f t="shared" si="0"/>
        <v>0</v>
      </c>
      <c r="C21">
        <f t="shared" si="1"/>
        <v>0</v>
      </c>
      <c r="D21">
        <f t="shared" si="2"/>
        <v>1</v>
      </c>
      <c r="E21">
        <f t="shared" si="3"/>
        <v>0</v>
      </c>
      <c r="F21">
        <f t="shared" si="4"/>
        <v>1</v>
      </c>
    </row>
    <row r="22" spans="1:6">
      <c r="A22" s="1" t="s">
        <v>84</v>
      </c>
      <c r="B22">
        <f t="shared" si="0"/>
        <v>0</v>
      </c>
      <c r="C22">
        <f t="shared" si="1"/>
        <v>0</v>
      </c>
      <c r="D22">
        <f t="shared" si="2"/>
        <v>0</v>
      </c>
      <c r="E22">
        <f t="shared" si="3"/>
        <v>1</v>
      </c>
      <c r="F22">
        <f t="shared" si="4"/>
        <v>0</v>
      </c>
    </row>
    <row r="23" spans="1:6">
      <c r="A23" s="1" t="s">
        <v>68</v>
      </c>
      <c r="B23">
        <f t="shared" si="0"/>
        <v>0</v>
      </c>
      <c r="C23">
        <f t="shared" si="1"/>
        <v>0</v>
      </c>
      <c r="D23">
        <f t="shared" si="2"/>
        <v>0</v>
      </c>
      <c r="E23">
        <f t="shared" si="3"/>
        <v>1</v>
      </c>
      <c r="F23">
        <f t="shared" si="4"/>
        <v>1</v>
      </c>
    </row>
    <row r="24" spans="1:6">
      <c r="A24" s="1" t="s">
        <v>72</v>
      </c>
      <c r="B24">
        <f t="shared" si="0"/>
        <v>1</v>
      </c>
      <c r="C24">
        <f t="shared" si="1"/>
        <v>0</v>
      </c>
      <c r="D24">
        <f t="shared" si="2"/>
        <v>0</v>
      </c>
      <c r="E24">
        <f t="shared" si="3"/>
        <v>0</v>
      </c>
      <c r="F24">
        <f t="shared" si="4"/>
        <v>1</v>
      </c>
    </row>
    <row r="25" spans="1:6">
      <c r="A25" s="1" t="s">
        <v>79</v>
      </c>
      <c r="B25">
        <f t="shared" si="0"/>
        <v>1</v>
      </c>
      <c r="C25">
        <f t="shared" si="1"/>
        <v>0</v>
      </c>
      <c r="D25">
        <f t="shared" si="2"/>
        <v>1</v>
      </c>
      <c r="E25">
        <f t="shared" si="3"/>
        <v>0</v>
      </c>
      <c r="F25">
        <f t="shared" si="4"/>
        <v>0</v>
      </c>
    </row>
    <row r="26" spans="1:6">
      <c r="A26" s="1" t="s">
        <v>84</v>
      </c>
      <c r="B26">
        <f t="shared" si="0"/>
        <v>0</v>
      </c>
      <c r="C26">
        <f t="shared" si="1"/>
        <v>0</v>
      </c>
      <c r="D26">
        <f t="shared" si="2"/>
        <v>0</v>
      </c>
      <c r="E26">
        <f t="shared" si="3"/>
        <v>1</v>
      </c>
      <c r="F26">
        <f t="shared" si="4"/>
        <v>0</v>
      </c>
    </row>
    <row r="27" spans="1:6">
      <c r="A27" s="1" t="s">
        <v>102</v>
      </c>
      <c r="B27">
        <f t="shared" si="0"/>
        <v>0</v>
      </c>
      <c r="C27">
        <f t="shared" si="1"/>
        <v>1</v>
      </c>
      <c r="D27">
        <f t="shared" si="2"/>
        <v>0</v>
      </c>
      <c r="E27">
        <f t="shared" si="3"/>
        <v>0</v>
      </c>
      <c r="F27">
        <f t="shared" si="4"/>
        <v>1</v>
      </c>
    </row>
    <row r="28" spans="1:6">
      <c r="A28" s="1" t="s">
        <v>46</v>
      </c>
      <c r="B28">
        <f t="shared" si="0"/>
        <v>1</v>
      </c>
      <c r="C28">
        <f t="shared" si="1"/>
        <v>0</v>
      </c>
      <c r="D28">
        <f t="shared" si="2"/>
        <v>0</v>
      </c>
      <c r="E28">
        <f t="shared" si="3"/>
        <v>1</v>
      </c>
      <c r="F28">
        <f t="shared" si="4"/>
        <v>0</v>
      </c>
    </row>
    <row r="29" spans="1:6">
      <c r="A29" s="1" t="s">
        <v>79</v>
      </c>
      <c r="B29">
        <f t="shared" si="0"/>
        <v>1</v>
      </c>
      <c r="C29">
        <f t="shared" si="1"/>
        <v>0</v>
      </c>
      <c r="D29">
        <f t="shared" si="2"/>
        <v>1</v>
      </c>
      <c r="E29">
        <f t="shared" si="3"/>
        <v>0</v>
      </c>
      <c r="F29">
        <f t="shared" si="4"/>
        <v>0</v>
      </c>
    </row>
    <row r="30" spans="1:6">
      <c r="A30" s="1" t="s">
        <v>84</v>
      </c>
      <c r="B30">
        <f t="shared" si="0"/>
        <v>0</v>
      </c>
      <c r="C30">
        <f t="shared" si="1"/>
        <v>0</v>
      </c>
      <c r="D30">
        <f t="shared" si="2"/>
        <v>0</v>
      </c>
      <c r="E30">
        <f t="shared" si="3"/>
        <v>1</v>
      </c>
      <c r="F30">
        <f t="shared" si="4"/>
        <v>0</v>
      </c>
    </row>
    <row r="31" spans="1:6">
      <c r="A31" s="1" t="s">
        <v>68</v>
      </c>
      <c r="B31">
        <f t="shared" si="0"/>
        <v>0</v>
      </c>
      <c r="C31">
        <f t="shared" si="1"/>
        <v>0</v>
      </c>
      <c r="D31">
        <f t="shared" si="2"/>
        <v>0</v>
      </c>
      <c r="E31">
        <f t="shared" si="3"/>
        <v>1</v>
      </c>
      <c r="F31">
        <f t="shared" si="4"/>
        <v>1</v>
      </c>
    </row>
    <row r="32" spans="1:6">
      <c r="A32" s="1" t="s">
        <v>72</v>
      </c>
      <c r="B32">
        <f t="shared" si="0"/>
        <v>1</v>
      </c>
      <c r="C32">
        <f t="shared" si="1"/>
        <v>0</v>
      </c>
      <c r="D32">
        <f t="shared" si="2"/>
        <v>0</v>
      </c>
      <c r="E32">
        <f t="shared" si="3"/>
        <v>0</v>
      </c>
      <c r="F32">
        <f t="shared" si="4"/>
        <v>1</v>
      </c>
    </row>
    <row r="33" spans="1:6">
      <c r="A33" s="1" t="s">
        <v>79</v>
      </c>
      <c r="B33">
        <f t="shared" si="0"/>
        <v>1</v>
      </c>
      <c r="C33">
        <f t="shared" si="1"/>
        <v>0</v>
      </c>
      <c r="D33">
        <f t="shared" si="2"/>
        <v>1</v>
      </c>
      <c r="E33">
        <f t="shared" si="3"/>
        <v>0</v>
      </c>
      <c r="F33">
        <f t="shared" si="4"/>
        <v>0</v>
      </c>
    </row>
    <row r="34" spans="1:6">
      <c r="A34" s="1" t="s">
        <v>84</v>
      </c>
      <c r="B34">
        <f t="shared" si="0"/>
        <v>0</v>
      </c>
      <c r="C34">
        <f t="shared" si="1"/>
        <v>0</v>
      </c>
      <c r="D34">
        <f t="shared" si="2"/>
        <v>0</v>
      </c>
      <c r="E34">
        <f t="shared" si="3"/>
        <v>1</v>
      </c>
      <c r="F34">
        <f t="shared" si="4"/>
        <v>0</v>
      </c>
    </row>
    <row r="35" spans="1:6">
      <c r="A35" s="1" t="s">
        <v>102</v>
      </c>
      <c r="B35">
        <f t="shared" si="0"/>
        <v>0</v>
      </c>
      <c r="C35">
        <f t="shared" si="1"/>
        <v>1</v>
      </c>
      <c r="D35">
        <f t="shared" si="2"/>
        <v>0</v>
      </c>
      <c r="E35">
        <f t="shared" si="3"/>
        <v>0</v>
      </c>
      <c r="F35">
        <f t="shared" si="4"/>
        <v>1</v>
      </c>
    </row>
    <row r="36" spans="1:6">
      <c r="A36" s="1" t="s">
        <v>46</v>
      </c>
      <c r="B36">
        <f t="shared" si="0"/>
        <v>1</v>
      </c>
      <c r="C36">
        <f t="shared" si="1"/>
        <v>0</v>
      </c>
      <c r="D36">
        <f t="shared" si="2"/>
        <v>0</v>
      </c>
      <c r="E36">
        <f t="shared" si="3"/>
        <v>1</v>
      </c>
      <c r="F36">
        <f t="shared" si="4"/>
        <v>0</v>
      </c>
    </row>
    <row r="37" spans="1:6">
      <c r="A37" s="1" t="s">
        <v>79</v>
      </c>
      <c r="B37">
        <f t="shared" si="0"/>
        <v>1</v>
      </c>
      <c r="C37">
        <f t="shared" si="1"/>
        <v>0</v>
      </c>
      <c r="D37">
        <f t="shared" si="2"/>
        <v>1</v>
      </c>
      <c r="E37">
        <f t="shared" si="3"/>
        <v>0</v>
      </c>
      <c r="F37">
        <f t="shared" si="4"/>
        <v>0</v>
      </c>
    </row>
    <row r="38" spans="1:6">
      <c r="A38" s="1" t="s">
        <v>84</v>
      </c>
      <c r="B38">
        <f t="shared" si="0"/>
        <v>0</v>
      </c>
      <c r="C38">
        <f t="shared" si="1"/>
        <v>0</v>
      </c>
      <c r="D38">
        <f t="shared" si="2"/>
        <v>0</v>
      </c>
      <c r="E38">
        <f t="shared" si="3"/>
        <v>1</v>
      </c>
      <c r="F38">
        <f t="shared" si="4"/>
        <v>0</v>
      </c>
    </row>
    <row r="39" spans="1:6">
      <c r="A39" s="1" t="s">
        <v>68</v>
      </c>
      <c r="B39">
        <f t="shared" si="0"/>
        <v>0</v>
      </c>
      <c r="C39">
        <f t="shared" si="1"/>
        <v>0</v>
      </c>
      <c r="D39">
        <f t="shared" si="2"/>
        <v>0</v>
      </c>
      <c r="E39">
        <f t="shared" si="3"/>
        <v>1</v>
      </c>
      <c r="F39">
        <f t="shared" si="4"/>
        <v>1</v>
      </c>
    </row>
    <row r="40" spans="1:6">
      <c r="A40" s="1" t="s">
        <v>72</v>
      </c>
      <c r="B40">
        <f t="shared" si="0"/>
        <v>1</v>
      </c>
      <c r="C40">
        <f t="shared" si="1"/>
        <v>0</v>
      </c>
      <c r="D40">
        <f t="shared" si="2"/>
        <v>0</v>
      </c>
      <c r="E40">
        <f t="shared" si="3"/>
        <v>0</v>
      </c>
      <c r="F40">
        <f t="shared" si="4"/>
        <v>1</v>
      </c>
    </row>
    <row r="41" spans="1:6">
      <c r="A41" s="1" t="s">
        <v>79</v>
      </c>
      <c r="B41">
        <f t="shared" si="0"/>
        <v>1</v>
      </c>
      <c r="C41">
        <f t="shared" si="1"/>
        <v>0</v>
      </c>
      <c r="D41">
        <f t="shared" si="2"/>
        <v>1</v>
      </c>
      <c r="E41">
        <f t="shared" si="3"/>
        <v>0</v>
      </c>
      <c r="F41">
        <f t="shared" si="4"/>
        <v>0</v>
      </c>
    </row>
    <row r="42" spans="1:6">
      <c r="A42" s="1" t="s">
        <v>105</v>
      </c>
      <c r="B42">
        <f t="shared" si="0"/>
        <v>0</v>
      </c>
      <c r="C42">
        <f t="shared" si="1"/>
        <v>0</v>
      </c>
      <c r="D42">
        <f t="shared" si="2"/>
        <v>0</v>
      </c>
      <c r="E42">
        <f t="shared" si="3"/>
        <v>1</v>
      </c>
      <c r="F42">
        <f t="shared" si="4"/>
        <v>1</v>
      </c>
    </row>
    <row r="43" spans="1:6">
      <c r="A43" s="1" t="s">
        <v>79</v>
      </c>
      <c r="B43">
        <f t="shared" si="0"/>
        <v>1</v>
      </c>
      <c r="C43">
        <f t="shared" si="1"/>
        <v>0</v>
      </c>
      <c r="D43">
        <f t="shared" si="2"/>
        <v>1</v>
      </c>
      <c r="E43">
        <f t="shared" si="3"/>
        <v>0</v>
      </c>
      <c r="F43">
        <f t="shared" si="4"/>
        <v>0</v>
      </c>
    </row>
    <row r="44" spans="1:6">
      <c r="A44" s="1" t="s">
        <v>106</v>
      </c>
      <c r="B44">
        <f t="shared" si="0"/>
        <v>1</v>
      </c>
      <c r="C44">
        <f t="shared" si="1"/>
        <v>1</v>
      </c>
      <c r="D44">
        <f t="shared" si="2"/>
        <v>0</v>
      </c>
      <c r="E44">
        <f t="shared" si="3"/>
        <v>0</v>
      </c>
      <c r="F44">
        <f t="shared" si="4"/>
        <v>0</v>
      </c>
    </row>
    <row r="45" spans="1:6">
      <c r="A45" s="1" t="s">
        <v>105</v>
      </c>
      <c r="B45">
        <f t="shared" si="0"/>
        <v>0</v>
      </c>
      <c r="C45">
        <f t="shared" si="1"/>
        <v>0</v>
      </c>
      <c r="D45">
        <f t="shared" si="2"/>
        <v>0</v>
      </c>
      <c r="E45">
        <f t="shared" si="3"/>
        <v>1</v>
      </c>
      <c r="F45">
        <f t="shared" si="4"/>
        <v>1</v>
      </c>
    </row>
    <row r="46" spans="1:6">
      <c r="A46" s="1" t="s">
        <v>84</v>
      </c>
      <c r="B46">
        <f t="shared" si="0"/>
        <v>0</v>
      </c>
      <c r="C46">
        <f t="shared" si="1"/>
        <v>0</v>
      </c>
      <c r="D46">
        <f t="shared" si="2"/>
        <v>0</v>
      </c>
      <c r="E46">
        <f t="shared" si="3"/>
        <v>1</v>
      </c>
      <c r="F46">
        <f t="shared" si="4"/>
        <v>0</v>
      </c>
    </row>
    <row r="47" spans="1:6">
      <c r="A47" s="1" t="s">
        <v>68</v>
      </c>
      <c r="B47">
        <f t="shared" si="0"/>
        <v>0</v>
      </c>
      <c r="C47">
        <f t="shared" si="1"/>
        <v>0</v>
      </c>
      <c r="D47">
        <f t="shared" si="2"/>
        <v>0</v>
      </c>
      <c r="E47">
        <f t="shared" si="3"/>
        <v>1</v>
      </c>
      <c r="F47">
        <f t="shared" si="4"/>
        <v>1</v>
      </c>
    </row>
    <row r="48" spans="1:6">
      <c r="A48" s="1" t="s">
        <v>93</v>
      </c>
      <c r="B48">
        <f t="shared" si="0"/>
        <v>1</v>
      </c>
      <c r="C48">
        <f t="shared" si="1"/>
        <v>0</v>
      </c>
      <c r="D48">
        <f t="shared" si="2"/>
        <v>1</v>
      </c>
      <c r="E48">
        <f t="shared" si="3"/>
        <v>0</v>
      </c>
      <c r="F48">
        <f t="shared" si="4"/>
        <v>0</v>
      </c>
    </row>
    <row r="49" spans="1:6">
      <c r="A49" s="1" t="s">
        <v>72</v>
      </c>
      <c r="B49">
        <f t="shared" si="0"/>
        <v>1</v>
      </c>
      <c r="C49">
        <f t="shared" si="1"/>
        <v>0</v>
      </c>
      <c r="D49">
        <f t="shared" si="2"/>
        <v>0</v>
      </c>
      <c r="E49">
        <f t="shared" si="3"/>
        <v>0</v>
      </c>
      <c r="F49">
        <f t="shared" si="4"/>
        <v>1</v>
      </c>
    </row>
    <row r="50" spans="1:6">
      <c r="A50" s="1" t="s">
        <v>84</v>
      </c>
      <c r="B50">
        <f t="shared" si="0"/>
        <v>0</v>
      </c>
      <c r="C50">
        <f t="shared" si="1"/>
        <v>0</v>
      </c>
      <c r="D50">
        <f t="shared" si="2"/>
        <v>0</v>
      </c>
      <c r="E50">
        <f t="shared" si="3"/>
        <v>1</v>
      </c>
      <c r="F50">
        <f t="shared" si="4"/>
        <v>0</v>
      </c>
    </row>
    <row r="51" spans="1:6">
      <c r="A51" s="1" t="s">
        <v>79</v>
      </c>
      <c r="B51">
        <f t="shared" si="0"/>
        <v>1</v>
      </c>
      <c r="C51">
        <f t="shared" si="1"/>
        <v>0</v>
      </c>
      <c r="D51">
        <f t="shared" si="2"/>
        <v>1</v>
      </c>
      <c r="E51">
        <f t="shared" si="3"/>
        <v>0</v>
      </c>
      <c r="F51">
        <f t="shared" si="4"/>
        <v>0</v>
      </c>
    </row>
    <row r="52" spans="1:6">
      <c r="A52" s="1" t="s">
        <v>84</v>
      </c>
      <c r="B52">
        <f t="shared" si="0"/>
        <v>0</v>
      </c>
      <c r="C52">
        <f t="shared" si="1"/>
        <v>0</v>
      </c>
      <c r="D52">
        <f t="shared" si="2"/>
        <v>0</v>
      </c>
      <c r="E52">
        <f t="shared" si="3"/>
        <v>1</v>
      </c>
      <c r="F52">
        <f t="shared" si="4"/>
        <v>0</v>
      </c>
    </row>
    <row r="53" spans="1:6">
      <c r="A53" s="1" t="s">
        <v>68</v>
      </c>
      <c r="B53">
        <f t="shared" si="0"/>
        <v>0</v>
      </c>
      <c r="C53">
        <f t="shared" si="1"/>
        <v>0</v>
      </c>
      <c r="D53">
        <f t="shared" si="2"/>
        <v>0</v>
      </c>
      <c r="E53">
        <f t="shared" si="3"/>
        <v>1</v>
      </c>
      <c r="F53">
        <f t="shared" si="4"/>
        <v>1</v>
      </c>
    </row>
    <row r="54" spans="1:6">
      <c r="A54" s="1" t="s">
        <v>36</v>
      </c>
      <c r="B54">
        <f t="shared" si="0"/>
        <v>1</v>
      </c>
      <c r="C54">
        <f t="shared" si="1"/>
        <v>1</v>
      </c>
      <c r="D54">
        <f t="shared" si="2"/>
        <v>0</v>
      </c>
      <c r="E54">
        <f t="shared" si="3"/>
        <v>0</v>
      </c>
      <c r="F54">
        <f t="shared" si="4"/>
        <v>0</v>
      </c>
    </row>
    <row r="55" spans="1:6">
      <c r="A55" s="1" t="s">
        <v>84</v>
      </c>
      <c r="B55">
        <f t="shared" si="0"/>
        <v>0</v>
      </c>
      <c r="C55">
        <f t="shared" si="1"/>
        <v>0</v>
      </c>
      <c r="D55">
        <f t="shared" si="2"/>
        <v>0</v>
      </c>
      <c r="E55">
        <f t="shared" si="3"/>
        <v>1</v>
      </c>
      <c r="F55">
        <f t="shared" si="4"/>
        <v>0</v>
      </c>
    </row>
    <row r="56" spans="1:6">
      <c r="A56" s="1" t="s">
        <v>58</v>
      </c>
      <c r="B56">
        <f t="shared" si="0"/>
        <v>0</v>
      </c>
      <c r="C56">
        <f t="shared" si="1"/>
        <v>0</v>
      </c>
      <c r="D56">
        <f t="shared" si="2"/>
        <v>1</v>
      </c>
      <c r="E56">
        <f t="shared" si="3"/>
        <v>0</v>
      </c>
      <c r="F56">
        <f t="shared" si="4"/>
        <v>1</v>
      </c>
    </row>
    <row r="57" spans="1:6">
      <c r="A57" s="1" t="s">
        <v>46</v>
      </c>
      <c r="B57">
        <f t="shared" si="0"/>
        <v>1</v>
      </c>
      <c r="C57">
        <f t="shared" si="1"/>
        <v>0</v>
      </c>
      <c r="D57">
        <f t="shared" si="2"/>
        <v>0</v>
      </c>
      <c r="E57">
        <f t="shared" si="3"/>
        <v>1</v>
      </c>
      <c r="F57">
        <f t="shared" si="4"/>
        <v>0</v>
      </c>
    </row>
    <row r="58" spans="1:6">
      <c r="A58" s="1" t="s">
        <v>93</v>
      </c>
      <c r="B58">
        <f t="shared" si="0"/>
        <v>1</v>
      </c>
      <c r="C58">
        <f t="shared" si="1"/>
        <v>0</v>
      </c>
      <c r="D58">
        <f t="shared" si="2"/>
        <v>1</v>
      </c>
      <c r="E58">
        <f t="shared" si="3"/>
        <v>0</v>
      </c>
      <c r="F58">
        <f t="shared" si="4"/>
        <v>0</v>
      </c>
    </row>
    <row r="59" spans="1:6">
      <c r="A59" s="1" t="s">
        <v>84</v>
      </c>
      <c r="B59">
        <f t="shared" si="0"/>
        <v>0</v>
      </c>
      <c r="C59">
        <f t="shared" si="1"/>
        <v>0</v>
      </c>
      <c r="D59">
        <f t="shared" si="2"/>
        <v>0</v>
      </c>
      <c r="E59">
        <f t="shared" si="3"/>
        <v>1</v>
      </c>
      <c r="F59">
        <f t="shared" si="4"/>
        <v>0</v>
      </c>
    </row>
    <row r="60" spans="1:6">
      <c r="A60" s="1" t="s">
        <v>68</v>
      </c>
      <c r="B60">
        <f t="shared" si="0"/>
        <v>0</v>
      </c>
      <c r="C60">
        <f t="shared" si="1"/>
        <v>0</v>
      </c>
      <c r="D60">
        <f t="shared" si="2"/>
        <v>0</v>
      </c>
      <c r="E60">
        <f t="shared" si="3"/>
        <v>1</v>
      </c>
      <c r="F60">
        <f t="shared" si="4"/>
        <v>1</v>
      </c>
    </row>
    <row r="61" spans="1:6">
      <c r="A61" s="1" t="s">
        <v>79</v>
      </c>
      <c r="B61">
        <f t="shared" si="0"/>
        <v>1</v>
      </c>
      <c r="C61">
        <f t="shared" si="1"/>
        <v>0</v>
      </c>
      <c r="D61">
        <f t="shared" si="2"/>
        <v>1</v>
      </c>
      <c r="E61">
        <f t="shared" si="3"/>
        <v>0</v>
      </c>
      <c r="F61">
        <f t="shared" si="4"/>
        <v>0</v>
      </c>
    </row>
    <row r="62" spans="1:6">
      <c r="A62" s="1" t="s">
        <v>72</v>
      </c>
      <c r="B62">
        <f t="shared" si="0"/>
        <v>1</v>
      </c>
      <c r="C62">
        <f t="shared" si="1"/>
        <v>0</v>
      </c>
      <c r="D62">
        <f t="shared" si="2"/>
        <v>0</v>
      </c>
      <c r="E62">
        <f t="shared" si="3"/>
        <v>0</v>
      </c>
      <c r="F62">
        <f t="shared" si="4"/>
        <v>1</v>
      </c>
    </row>
    <row r="63" spans="1:6">
      <c r="A63" s="1" t="s">
        <v>84</v>
      </c>
      <c r="B63">
        <f t="shared" si="0"/>
        <v>0</v>
      </c>
      <c r="C63">
        <f t="shared" si="1"/>
        <v>0</v>
      </c>
      <c r="D63">
        <f t="shared" si="2"/>
        <v>0</v>
      </c>
      <c r="E63">
        <f t="shared" si="3"/>
        <v>1</v>
      </c>
      <c r="F63">
        <f t="shared" si="4"/>
        <v>0</v>
      </c>
    </row>
    <row r="64" spans="1:6">
      <c r="A64" s="1" t="s">
        <v>36</v>
      </c>
      <c r="B64">
        <f t="shared" si="0"/>
        <v>1</v>
      </c>
      <c r="C64">
        <f t="shared" si="1"/>
        <v>1</v>
      </c>
      <c r="D64">
        <f t="shared" si="2"/>
        <v>0</v>
      </c>
      <c r="E64">
        <f t="shared" si="3"/>
        <v>0</v>
      </c>
      <c r="F64">
        <f t="shared" si="4"/>
        <v>0</v>
      </c>
    </row>
    <row r="65" spans="1:6">
      <c r="A65" s="1" t="s">
        <v>58</v>
      </c>
      <c r="B65">
        <f t="shared" si="0"/>
        <v>0</v>
      </c>
      <c r="C65">
        <f t="shared" si="1"/>
        <v>0</v>
      </c>
      <c r="D65">
        <f t="shared" si="2"/>
        <v>1</v>
      </c>
      <c r="E65">
        <f t="shared" si="3"/>
        <v>0</v>
      </c>
      <c r="F65">
        <f t="shared" si="4"/>
        <v>1</v>
      </c>
    </row>
    <row r="66" spans="1:6">
      <c r="A66" s="1" t="s">
        <v>46</v>
      </c>
      <c r="B66">
        <f t="shared" si="0"/>
        <v>1</v>
      </c>
      <c r="C66">
        <f t="shared" si="1"/>
        <v>0</v>
      </c>
      <c r="D66">
        <f t="shared" si="2"/>
        <v>0</v>
      </c>
      <c r="E66">
        <f t="shared" si="3"/>
        <v>1</v>
      </c>
      <c r="F66">
        <f t="shared" si="4"/>
        <v>0</v>
      </c>
    </row>
    <row r="67" spans="1:6">
      <c r="A67" s="1" t="s">
        <v>93</v>
      </c>
      <c r="B67">
        <f t="shared" ref="B67:B116" si="5">IF(ISNUMBER(SEARCH("Higher profit",A67)),1,0)</f>
        <v>1</v>
      </c>
      <c r="C67">
        <f t="shared" ref="C67:C116" si="6">IF(ISNUMBER(SEARCH("Better price control",A67)),1,0)</f>
        <v>0</v>
      </c>
      <c r="D67">
        <f t="shared" ref="D67:D116" si="7">IF(ISNUMBER(SEARCH("Direct customer relationship",A67)),1,0)</f>
        <v>1</v>
      </c>
      <c r="E67">
        <f t="shared" ref="E67:E116" si="8">IF(ISNUMBER(SEARCH("Immediate payment",A67)),1,0)</f>
        <v>0</v>
      </c>
      <c r="F67">
        <f t="shared" ref="F67:F116" si="9">IF(ISNUMBER(SEARCH("Better demand",A67)),1,0)</f>
        <v>0</v>
      </c>
    </row>
    <row r="68" spans="1:6">
      <c r="A68" s="1" t="s">
        <v>84</v>
      </c>
      <c r="B68">
        <f t="shared" si="5"/>
        <v>0</v>
      </c>
      <c r="C68">
        <f t="shared" si="6"/>
        <v>0</v>
      </c>
      <c r="D68">
        <f t="shared" si="7"/>
        <v>0</v>
      </c>
      <c r="E68">
        <f t="shared" si="8"/>
        <v>1</v>
      </c>
      <c r="F68">
        <f t="shared" si="9"/>
        <v>0</v>
      </c>
    </row>
    <row r="69" spans="1:6">
      <c r="A69" s="1" t="s">
        <v>68</v>
      </c>
      <c r="B69">
        <f t="shared" si="5"/>
        <v>0</v>
      </c>
      <c r="C69">
        <f t="shared" si="6"/>
        <v>0</v>
      </c>
      <c r="D69">
        <f t="shared" si="7"/>
        <v>0</v>
      </c>
      <c r="E69">
        <f t="shared" si="8"/>
        <v>1</v>
      </c>
      <c r="F69">
        <f t="shared" si="9"/>
        <v>1</v>
      </c>
    </row>
    <row r="70" spans="1:6">
      <c r="A70" s="1" t="s">
        <v>79</v>
      </c>
      <c r="B70">
        <f t="shared" si="5"/>
        <v>1</v>
      </c>
      <c r="C70">
        <f t="shared" si="6"/>
        <v>0</v>
      </c>
      <c r="D70">
        <f t="shared" si="7"/>
        <v>1</v>
      </c>
      <c r="E70">
        <f t="shared" si="8"/>
        <v>0</v>
      </c>
      <c r="F70">
        <f t="shared" si="9"/>
        <v>0</v>
      </c>
    </row>
    <row r="71" spans="1:6">
      <c r="A71" s="1" t="s">
        <v>72</v>
      </c>
      <c r="B71">
        <f t="shared" si="5"/>
        <v>1</v>
      </c>
      <c r="C71">
        <f t="shared" si="6"/>
        <v>0</v>
      </c>
      <c r="D71">
        <f t="shared" si="7"/>
        <v>0</v>
      </c>
      <c r="E71">
        <f t="shared" si="8"/>
        <v>0</v>
      </c>
      <c r="F71">
        <f t="shared" si="9"/>
        <v>1</v>
      </c>
    </row>
    <row r="72" spans="1:6">
      <c r="A72" s="1" t="s">
        <v>105</v>
      </c>
      <c r="B72">
        <f t="shared" si="5"/>
        <v>0</v>
      </c>
      <c r="C72">
        <f t="shared" si="6"/>
        <v>0</v>
      </c>
      <c r="D72">
        <f t="shared" si="7"/>
        <v>0</v>
      </c>
      <c r="E72">
        <f t="shared" si="8"/>
        <v>1</v>
      </c>
      <c r="F72">
        <f t="shared" si="9"/>
        <v>1</v>
      </c>
    </row>
    <row r="73" spans="1:6">
      <c r="A73" s="1" t="s">
        <v>79</v>
      </c>
      <c r="B73">
        <f t="shared" si="5"/>
        <v>1</v>
      </c>
      <c r="C73">
        <f t="shared" si="6"/>
        <v>0</v>
      </c>
      <c r="D73">
        <f t="shared" si="7"/>
        <v>1</v>
      </c>
      <c r="E73">
        <f t="shared" si="8"/>
        <v>0</v>
      </c>
      <c r="F73">
        <f t="shared" si="9"/>
        <v>0</v>
      </c>
    </row>
    <row r="74" spans="1:6">
      <c r="A74" s="1" t="s">
        <v>106</v>
      </c>
      <c r="B74">
        <f t="shared" si="5"/>
        <v>1</v>
      </c>
      <c r="C74">
        <f t="shared" si="6"/>
        <v>1</v>
      </c>
      <c r="D74">
        <f t="shared" si="7"/>
        <v>0</v>
      </c>
      <c r="E74">
        <f t="shared" si="8"/>
        <v>0</v>
      </c>
      <c r="F74">
        <f t="shared" si="9"/>
        <v>0</v>
      </c>
    </row>
    <row r="75" spans="1:6">
      <c r="A75" s="1" t="s">
        <v>105</v>
      </c>
      <c r="B75">
        <f t="shared" si="5"/>
        <v>0</v>
      </c>
      <c r="C75">
        <f t="shared" si="6"/>
        <v>0</v>
      </c>
      <c r="D75">
        <f t="shared" si="7"/>
        <v>0</v>
      </c>
      <c r="E75">
        <f t="shared" si="8"/>
        <v>1</v>
      </c>
      <c r="F75">
        <f t="shared" si="9"/>
        <v>1</v>
      </c>
    </row>
    <row r="76" spans="1:6">
      <c r="A76" s="1" t="s">
        <v>84</v>
      </c>
      <c r="B76">
        <f t="shared" si="5"/>
        <v>0</v>
      </c>
      <c r="C76">
        <f t="shared" si="6"/>
        <v>0</v>
      </c>
      <c r="D76">
        <f t="shared" si="7"/>
        <v>0</v>
      </c>
      <c r="E76">
        <f t="shared" si="8"/>
        <v>1</v>
      </c>
      <c r="F76">
        <f t="shared" si="9"/>
        <v>0</v>
      </c>
    </row>
    <row r="77" spans="1:6">
      <c r="A77" s="1" t="s">
        <v>68</v>
      </c>
      <c r="B77">
        <f t="shared" si="5"/>
        <v>0</v>
      </c>
      <c r="C77">
        <f t="shared" si="6"/>
        <v>0</v>
      </c>
      <c r="D77">
        <f t="shared" si="7"/>
        <v>0</v>
      </c>
      <c r="E77">
        <f t="shared" si="8"/>
        <v>1</v>
      </c>
      <c r="F77">
        <f t="shared" si="9"/>
        <v>1</v>
      </c>
    </row>
    <row r="78" spans="1:6">
      <c r="A78" s="1" t="s">
        <v>93</v>
      </c>
      <c r="B78">
        <f t="shared" si="5"/>
        <v>1</v>
      </c>
      <c r="C78">
        <f t="shared" si="6"/>
        <v>0</v>
      </c>
      <c r="D78">
        <f t="shared" si="7"/>
        <v>1</v>
      </c>
      <c r="E78">
        <f t="shared" si="8"/>
        <v>0</v>
      </c>
      <c r="F78">
        <f t="shared" si="9"/>
        <v>0</v>
      </c>
    </row>
    <row r="79" spans="1:6">
      <c r="A79" s="1" t="s">
        <v>72</v>
      </c>
      <c r="B79">
        <f t="shared" si="5"/>
        <v>1</v>
      </c>
      <c r="C79">
        <f t="shared" si="6"/>
        <v>0</v>
      </c>
      <c r="D79">
        <f t="shared" si="7"/>
        <v>0</v>
      </c>
      <c r="E79">
        <f t="shared" si="8"/>
        <v>0</v>
      </c>
      <c r="F79">
        <f t="shared" si="9"/>
        <v>1</v>
      </c>
    </row>
    <row r="80" spans="1:6">
      <c r="A80" s="1" t="s">
        <v>84</v>
      </c>
      <c r="B80">
        <f t="shared" si="5"/>
        <v>0</v>
      </c>
      <c r="C80">
        <f t="shared" si="6"/>
        <v>0</v>
      </c>
      <c r="D80">
        <f t="shared" si="7"/>
        <v>0</v>
      </c>
      <c r="E80">
        <f t="shared" si="8"/>
        <v>1</v>
      </c>
      <c r="F80">
        <f t="shared" si="9"/>
        <v>0</v>
      </c>
    </row>
    <row r="81" spans="1:6">
      <c r="A81" s="1" t="s">
        <v>79</v>
      </c>
      <c r="B81">
        <f t="shared" si="5"/>
        <v>1</v>
      </c>
      <c r="C81">
        <f t="shared" si="6"/>
        <v>0</v>
      </c>
      <c r="D81">
        <f t="shared" si="7"/>
        <v>1</v>
      </c>
      <c r="E81">
        <f t="shared" si="8"/>
        <v>0</v>
      </c>
      <c r="F81">
        <f t="shared" si="9"/>
        <v>0</v>
      </c>
    </row>
    <row r="82" spans="1:6">
      <c r="A82" s="1" t="s">
        <v>84</v>
      </c>
      <c r="B82">
        <f t="shared" si="5"/>
        <v>0</v>
      </c>
      <c r="C82">
        <f t="shared" si="6"/>
        <v>0</v>
      </c>
      <c r="D82">
        <f t="shared" si="7"/>
        <v>0</v>
      </c>
      <c r="E82">
        <f t="shared" si="8"/>
        <v>1</v>
      </c>
      <c r="F82">
        <f t="shared" si="9"/>
        <v>0</v>
      </c>
    </row>
    <row r="83" spans="1:6">
      <c r="A83" s="1" t="s">
        <v>68</v>
      </c>
      <c r="B83">
        <f t="shared" si="5"/>
        <v>0</v>
      </c>
      <c r="C83">
        <f t="shared" si="6"/>
        <v>0</v>
      </c>
      <c r="D83">
        <f t="shared" si="7"/>
        <v>0</v>
      </c>
      <c r="E83">
        <f t="shared" si="8"/>
        <v>1</v>
      </c>
      <c r="F83">
        <f t="shared" si="9"/>
        <v>1</v>
      </c>
    </row>
    <row r="84" spans="1:6">
      <c r="A84" s="1" t="s">
        <v>36</v>
      </c>
      <c r="B84">
        <f t="shared" si="5"/>
        <v>1</v>
      </c>
      <c r="C84">
        <f t="shared" si="6"/>
        <v>1</v>
      </c>
      <c r="D84">
        <f t="shared" si="7"/>
        <v>0</v>
      </c>
      <c r="E84">
        <f t="shared" si="8"/>
        <v>0</v>
      </c>
      <c r="F84">
        <f t="shared" si="9"/>
        <v>0</v>
      </c>
    </row>
    <row r="85" spans="1:6">
      <c r="A85" s="1" t="s">
        <v>84</v>
      </c>
      <c r="B85">
        <f t="shared" si="5"/>
        <v>0</v>
      </c>
      <c r="C85">
        <f t="shared" si="6"/>
        <v>0</v>
      </c>
      <c r="D85">
        <f t="shared" si="7"/>
        <v>0</v>
      </c>
      <c r="E85">
        <f t="shared" si="8"/>
        <v>1</v>
      </c>
      <c r="F85">
        <f t="shared" si="9"/>
        <v>0</v>
      </c>
    </row>
    <row r="86" spans="1:6">
      <c r="A86" s="1" t="s">
        <v>58</v>
      </c>
      <c r="B86">
        <f t="shared" si="5"/>
        <v>0</v>
      </c>
      <c r="C86">
        <f t="shared" si="6"/>
        <v>0</v>
      </c>
      <c r="D86">
        <f t="shared" si="7"/>
        <v>1</v>
      </c>
      <c r="E86">
        <f t="shared" si="8"/>
        <v>0</v>
      </c>
      <c r="F86">
        <f t="shared" si="9"/>
        <v>1</v>
      </c>
    </row>
    <row r="87" spans="1:6">
      <c r="A87" s="1" t="s">
        <v>46</v>
      </c>
      <c r="B87">
        <f t="shared" si="5"/>
        <v>1</v>
      </c>
      <c r="C87">
        <f t="shared" si="6"/>
        <v>0</v>
      </c>
      <c r="D87">
        <f t="shared" si="7"/>
        <v>0</v>
      </c>
      <c r="E87">
        <f t="shared" si="8"/>
        <v>1</v>
      </c>
      <c r="F87">
        <f t="shared" si="9"/>
        <v>0</v>
      </c>
    </row>
    <row r="88" spans="1:6">
      <c r="A88" s="1" t="s">
        <v>93</v>
      </c>
      <c r="B88">
        <f t="shared" si="5"/>
        <v>1</v>
      </c>
      <c r="C88">
        <f t="shared" si="6"/>
        <v>0</v>
      </c>
      <c r="D88">
        <f t="shared" si="7"/>
        <v>1</v>
      </c>
      <c r="E88">
        <f t="shared" si="8"/>
        <v>0</v>
      </c>
      <c r="F88">
        <f t="shared" si="9"/>
        <v>0</v>
      </c>
    </row>
    <row r="89" spans="1:6">
      <c r="A89" s="1" t="s">
        <v>84</v>
      </c>
      <c r="B89">
        <f t="shared" si="5"/>
        <v>0</v>
      </c>
      <c r="C89">
        <f t="shared" si="6"/>
        <v>0</v>
      </c>
      <c r="D89">
        <f t="shared" si="7"/>
        <v>0</v>
      </c>
      <c r="E89">
        <f t="shared" si="8"/>
        <v>1</v>
      </c>
      <c r="F89">
        <f t="shared" si="9"/>
        <v>0</v>
      </c>
    </row>
    <row r="90" spans="1:6">
      <c r="A90" s="1" t="s">
        <v>68</v>
      </c>
      <c r="B90">
        <f t="shared" si="5"/>
        <v>0</v>
      </c>
      <c r="C90">
        <f t="shared" si="6"/>
        <v>0</v>
      </c>
      <c r="D90">
        <f t="shared" si="7"/>
        <v>0</v>
      </c>
      <c r="E90">
        <f t="shared" si="8"/>
        <v>1</v>
      </c>
      <c r="F90">
        <f t="shared" si="9"/>
        <v>1</v>
      </c>
    </row>
    <row r="91" spans="1:6">
      <c r="A91" s="1" t="s">
        <v>79</v>
      </c>
      <c r="B91">
        <f t="shared" si="5"/>
        <v>1</v>
      </c>
      <c r="C91">
        <f t="shared" si="6"/>
        <v>0</v>
      </c>
      <c r="D91">
        <f t="shared" si="7"/>
        <v>1</v>
      </c>
      <c r="E91">
        <f t="shared" si="8"/>
        <v>0</v>
      </c>
      <c r="F91">
        <f t="shared" si="9"/>
        <v>0</v>
      </c>
    </row>
    <row r="92" spans="1:6">
      <c r="A92" s="1" t="s">
        <v>72</v>
      </c>
      <c r="B92">
        <f t="shared" si="5"/>
        <v>1</v>
      </c>
      <c r="C92">
        <f t="shared" si="6"/>
        <v>0</v>
      </c>
      <c r="D92">
        <f t="shared" si="7"/>
        <v>0</v>
      </c>
      <c r="E92">
        <f t="shared" si="8"/>
        <v>0</v>
      </c>
      <c r="F92">
        <f t="shared" si="9"/>
        <v>1</v>
      </c>
    </row>
    <row r="93" spans="1:6">
      <c r="A93" s="1" t="s">
        <v>84</v>
      </c>
      <c r="B93">
        <f t="shared" si="5"/>
        <v>0</v>
      </c>
      <c r="C93">
        <f t="shared" si="6"/>
        <v>0</v>
      </c>
      <c r="D93">
        <f t="shared" si="7"/>
        <v>0</v>
      </c>
      <c r="E93">
        <f t="shared" si="8"/>
        <v>1</v>
      </c>
      <c r="F93">
        <f t="shared" si="9"/>
        <v>0</v>
      </c>
    </row>
    <row r="94" spans="1:6">
      <c r="A94" s="1" t="s">
        <v>36</v>
      </c>
      <c r="B94">
        <f t="shared" si="5"/>
        <v>1</v>
      </c>
      <c r="C94">
        <f t="shared" si="6"/>
        <v>1</v>
      </c>
      <c r="D94">
        <f t="shared" si="7"/>
        <v>0</v>
      </c>
      <c r="E94">
        <f t="shared" si="8"/>
        <v>0</v>
      </c>
      <c r="F94">
        <f t="shared" si="9"/>
        <v>0</v>
      </c>
    </row>
    <row r="95" spans="1:6">
      <c r="A95" s="1" t="s">
        <v>58</v>
      </c>
      <c r="B95">
        <f t="shared" si="5"/>
        <v>0</v>
      </c>
      <c r="C95">
        <f t="shared" si="6"/>
        <v>0</v>
      </c>
      <c r="D95">
        <f t="shared" si="7"/>
        <v>1</v>
      </c>
      <c r="E95">
        <f t="shared" si="8"/>
        <v>0</v>
      </c>
      <c r="F95">
        <f t="shared" si="9"/>
        <v>1</v>
      </c>
    </row>
    <row r="96" spans="1:6">
      <c r="A96" s="1" t="s">
        <v>46</v>
      </c>
      <c r="B96">
        <f t="shared" si="5"/>
        <v>1</v>
      </c>
      <c r="C96">
        <f t="shared" si="6"/>
        <v>0</v>
      </c>
      <c r="D96">
        <f t="shared" si="7"/>
        <v>0</v>
      </c>
      <c r="E96">
        <f t="shared" si="8"/>
        <v>1</v>
      </c>
      <c r="F96">
        <f t="shared" si="9"/>
        <v>0</v>
      </c>
    </row>
    <row r="97" spans="1:6">
      <c r="A97" s="1" t="s">
        <v>93</v>
      </c>
      <c r="B97">
        <f t="shared" si="5"/>
        <v>1</v>
      </c>
      <c r="C97">
        <f t="shared" si="6"/>
        <v>0</v>
      </c>
      <c r="D97">
        <f t="shared" si="7"/>
        <v>1</v>
      </c>
      <c r="E97">
        <f t="shared" si="8"/>
        <v>0</v>
      </c>
      <c r="F97">
        <f t="shared" si="9"/>
        <v>0</v>
      </c>
    </row>
    <row r="98" spans="1:6">
      <c r="A98" s="1" t="s">
        <v>84</v>
      </c>
      <c r="B98">
        <f t="shared" si="5"/>
        <v>0</v>
      </c>
      <c r="C98">
        <f t="shared" si="6"/>
        <v>0</v>
      </c>
      <c r="D98">
        <f t="shared" si="7"/>
        <v>0</v>
      </c>
      <c r="E98">
        <f t="shared" si="8"/>
        <v>1</v>
      </c>
      <c r="F98">
        <f t="shared" si="9"/>
        <v>0</v>
      </c>
    </row>
    <row r="99" spans="1:6">
      <c r="A99" s="1" t="s">
        <v>68</v>
      </c>
      <c r="B99">
        <f t="shared" si="5"/>
        <v>0</v>
      </c>
      <c r="C99">
        <f t="shared" si="6"/>
        <v>0</v>
      </c>
      <c r="D99">
        <f t="shared" si="7"/>
        <v>0</v>
      </c>
      <c r="E99">
        <f t="shared" si="8"/>
        <v>1</v>
      </c>
      <c r="F99">
        <f t="shared" si="9"/>
        <v>1</v>
      </c>
    </row>
    <row r="100" spans="1:6">
      <c r="A100" s="1" t="s">
        <v>79</v>
      </c>
      <c r="B100">
        <f t="shared" si="5"/>
        <v>1</v>
      </c>
      <c r="C100">
        <f t="shared" si="6"/>
        <v>0</v>
      </c>
      <c r="D100">
        <f t="shared" si="7"/>
        <v>1</v>
      </c>
      <c r="E100">
        <f t="shared" si="8"/>
        <v>0</v>
      </c>
      <c r="F100">
        <f t="shared" si="9"/>
        <v>0</v>
      </c>
    </row>
    <row r="101" spans="1:6">
      <c r="A101" s="1" t="s">
        <v>72</v>
      </c>
      <c r="B101">
        <f t="shared" si="5"/>
        <v>1</v>
      </c>
      <c r="C101">
        <f t="shared" si="6"/>
        <v>0</v>
      </c>
      <c r="D101">
        <f t="shared" si="7"/>
        <v>0</v>
      </c>
      <c r="E101">
        <f t="shared" si="8"/>
        <v>0</v>
      </c>
      <c r="F101">
        <f t="shared" si="9"/>
        <v>1</v>
      </c>
    </row>
    <row r="102" spans="1:6">
      <c r="A102" s="1" t="s">
        <v>105</v>
      </c>
      <c r="B102">
        <f t="shared" si="5"/>
        <v>0</v>
      </c>
      <c r="C102">
        <f t="shared" si="6"/>
        <v>0</v>
      </c>
      <c r="D102">
        <f t="shared" si="7"/>
        <v>0</v>
      </c>
      <c r="E102">
        <f t="shared" si="8"/>
        <v>1</v>
      </c>
      <c r="F102">
        <f t="shared" si="9"/>
        <v>1</v>
      </c>
    </row>
    <row r="103" spans="1:6">
      <c r="A103" s="1" t="s">
        <v>79</v>
      </c>
      <c r="B103">
        <f t="shared" si="5"/>
        <v>1</v>
      </c>
      <c r="C103">
        <f t="shared" si="6"/>
        <v>0</v>
      </c>
      <c r="D103">
        <f t="shared" si="7"/>
        <v>1</v>
      </c>
      <c r="E103">
        <f t="shared" si="8"/>
        <v>0</v>
      </c>
      <c r="F103">
        <f t="shared" si="9"/>
        <v>0</v>
      </c>
    </row>
    <row r="104" spans="1:6">
      <c r="A104" s="1" t="s">
        <v>106</v>
      </c>
      <c r="B104">
        <f t="shared" si="5"/>
        <v>1</v>
      </c>
      <c r="C104">
        <f t="shared" si="6"/>
        <v>1</v>
      </c>
      <c r="D104">
        <f t="shared" si="7"/>
        <v>0</v>
      </c>
      <c r="E104">
        <f t="shared" si="8"/>
        <v>0</v>
      </c>
      <c r="F104">
        <f t="shared" si="9"/>
        <v>0</v>
      </c>
    </row>
    <row r="105" spans="1:6">
      <c r="A105" s="1" t="s">
        <v>105</v>
      </c>
      <c r="B105">
        <f t="shared" si="5"/>
        <v>0</v>
      </c>
      <c r="C105">
        <f t="shared" si="6"/>
        <v>0</v>
      </c>
      <c r="D105">
        <f t="shared" si="7"/>
        <v>0</v>
      </c>
      <c r="E105">
        <f t="shared" si="8"/>
        <v>1</v>
      </c>
      <c r="F105">
        <f t="shared" si="9"/>
        <v>1</v>
      </c>
    </row>
    <row r="106" spans="1:6">
      <c r="A106" s="1" t="s">
        <v>84</v>
      </c>
      <c r="B106">
        <f t="shared" si="5"/>
        <v>0</v>
      </c>
      <c r="C106">
        <f t="shared" si="6"/>
        <v>0</v>
      </c>
      <c r="D106">
        <f t="shared" si="7"/>
        <v>0</v>
      </c>
      <c r="E106">
        <f t="shared" si="8"/>
        <v>1</v>
      </c>
      <c r="F106">
        <f t="shared" si="9"/>
        <v>0</v>
      </c>
    </row>
    <row r="107" spans="1:6">
      <c r="A107" s="1" t="s">
        <v>68</v>
      </c>
      <c r="B107">
        <f t="shared" si="5"/>
        <v>0</v>
      </c>
      <c r="C107">
        <f t="shared" si="6"/>
        <v>0</v>
      </c>
      <c r="D107">
        <f t="shared" si="7"/>
        <v>0</v>
      </c>
      <c r="E107">
        <f t="shared" si="8"/>
        <v>1</v>
      </c>
      <c r="F107">
        <f t="shared" si="9"/>
        <v>1</v>
      </c>
    </row>
    <row r="108" spans="1:6">
      <c r="A108" s="1" t="s">
        <v>93</v>
      </c>
      <c r="B108">
        <f t="shared" si="5"/>
        <v>1</v>
      </c>
      <c r="C108">
        <f t="shared" si="6"/>
        <v>0</v>
      </c>
      <c r="D108">
        <f t="shared" si="7"/>
        <v>1</v>
      </c>
      <c r="E108">
        <f t="shared" si="8"/>
        <v>0</v>
      </c>
      <c r="F108">
        <f t="shared" si="9"/>
        <v>0</v>
      </c>
    </row>
    <row r="109" spans="1:6">
      <c r="A109" s="1" t="s">
        <v>72</v>
      </c>
      <c r="B109">
        <f t="shared" si="5"/>
        <v>1</v>
      </c>
      <c r="C109">
        <f t="shared" si="6"/>
        <v>0</v>
      </c>
      <c r="D109">
        <f t="shared" si="7"/>
        <v>0</v>
      </c>
      <c r="E109">
        <f t="shared" si="8"/>
        <v>0</v>
      </c>
      <c r="F109">
        <f t="shared" si="9"/>
        <v>1</v>
      </c>
    </row>
    <row r="110" spans="1:6">
      <c r="A110" s="1" t="s">
        <v>84</v>
      </c>
      <c r="B110">
        <f t="shared" si="5"/>
        <v>0</v>
      </c>
      <c r="C110">
        <f t="shared" si="6"/>
        <v>0</v>
      </c>
      <c r="D110">
        <f t="shared" si="7"/>
        <v>0</v>
      </c>
      <c r="E110">
        <f t="shared" si="8"/>
        <v>1</v>
      </c>
      <c r="F110">
        <f t="shared" si="9"/>
        <v>0</v>
      </c>
    </row>
    <row r="111" spans="1:6">
      <c r="A111" s="1" t="s">
        <v>79</v>
      </c>
      <c r="B111">
        <f t="shared" si="5"/>
        <v>1</v>
      </c>
      <c r="C111">
        <f t="shared" si="6"/>
        <v>0</v>
      </c>
      <c r="D111">
        <f t="shared" si="7"/>
        <v>1</v>
      </c>
      <c r="E111">
        <f t="shared" si="8"/>
        <v>0</v>
      </c>
      <c r="F111">
        <f t="shared" si="9"/>
        <v>0</v>
      </c>
    </row>
    <row r="112" spans="1:6">
      <c r="A112" s="1" t="s">
        <v>84</v>
      </c>
      <c r="B112">
        <f t="shared" si="5"/>
        <v>0</v>
      </c>
      <c r="C112">
        <f t="shared" si="6"/>
        <v>0</v>
      </c>
      <c r="D112">
        <f t="shared" si="7"/>
        <v>0</v>
      </c>
      <c r="E112">
        <f t="shared" si="8"/>
        <v>1</v>
      </c>
      <c r="F112">
        <f t="shared" si="9"/>
        <v>0</v>
      </c>
    </row>
    <row r="113" spans="1:6">
      <c r="A113" s="1" t="s">
        <v>68</v>
      </c>
      <c r="B113">
        <f t="shared" si="5"/>
        <v>0</v>
      </c>
      <c r="C113">
        <f t="shared" si="6"/>
        <v>0</v>
      </c>
      <c r="D113">
        <f t="shared" si="7"/>
        <v>0</v>
      </c>
      <c r="E113">
        <f t="shared" si="8"/>
        <v>1</v>
      </c>
      <c r="F113">
        <f t="shared" si="9"/>
        <v>1</v>
      </c>
    </row>
    <row r="114" spans="1:6">
      <c r="A114" s="1" t="s">
        <v>36</v>
      </c>
      <c r="B114">
        <f t="shared" si="5"/>
        <v>1</v>
      </c>
      <c r="C114">
        <f t="shared" si="6"/>
        <v>1</v>
      </c>
      <c r="D114">
        <f t="shared" si="7"/>
        <v>0</v>
      </c>
      <c r="E114">
        <f t="shared" si="8"/>
        <v>0</v>
      </c>
      <c r="F114">
        <f t="shared" si="9"/>
        <v>0</v>
      </c>
    </row>
    <row r="115" spans="1:6">
      <c r="A115" s="1" t="s">
        <v>84</v>
      </c>
      <c r="B115">
        <f t="shared" si="5"/>
        <v>0</v>
      </c>
      <c r="C115">
        <f t="shared" si="6"/>
        <v>0</v>
      </c>
      <c r="D115">
        <f t="shared" si="7"/>
        <v>0</v>
      </c>
      <c r="E115">
        <f t="shared" si="8"/>
        <v>1</v>
      </c>
      <c r="F115">
        <f t="shared" si="9"/>
        <v>0</v>
      </c>
    </row>
    <row r="116" spans="1:6">
      <c r="A116" s="1" t="s">
        <v>58</v>
      </c>
      <c r="B116">
        <f t="shared" si="5"/>
        <v>0</v>
      </c>
      <c r="C116">
        <f t="shared" si="6"/>
        <v>0</v>
      </c>
      <c r="D116">
        <f t="shared" si="7"/>
        <v>1</v>
      </c>
      <c r="E116">
        <f t="shared" si="8"/>
        <v>0</v>
      </c>
      <c r="F116">
        <f t="shared" si="9"/>
        <v>1</v>
      </c>
    </row>
    <row r="117" spans="1:6">
      <c r="A117" s="1" t="s">
        <v>126</v>
      </c>
      <c r="B117">
        <f>SUM(B2:B116)</f>
        <v>56</v>
      </c>
      <c r="C117">
        <f t="shared" ref="C117:F117" si="10">SUM(C2:C116)</f>
        <v>15</v>
      </c>
      <c r="D117">
        <f t="shared" si="10"/>
        <v>33</v>
      </c>
      <c r="E117">
        <f t="shared" si="10"/>
        <v>55</v>
      </c>
      <c r="F117">
        <f t="shared" si="10"/>
        <v>44</v>
      </c>
    </row>
    <row r="118" spans="1:6">
      <c r="A118" s="1" t="s">
        <v>127</v>
      </c>
      <c r="B118" s="8">
        <f>B117/115*100</f>
        <v>48.695652173913047</v>
      </c>
      <c r="C118" s="8">
        <f t="shared" ref="C118:F118" si="11">C117/115*100</f>
        <v>13.043478260869565</v>
      </c>
      <c r="D118" s="8">
        <f t="shared" si="11"/>
        <v>28.695652173913043</v>
      </c>
      <c r="E118" s="8">
        <f t="shared" si="11"/>
        <v>47.826086956521742</v>
      </c>
      <c r="F118" s="8">
        <f t="shared" si="11"/>
        <v>38.260869565217391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D34FD-806E-FA4F-AEBF-2E5120A9A5DE}">
  <dimension ref="A1:L118"/>
  <sheetViews>
    <sheetView tabSelected="1" topLeftCell="E1" workbookViewId="0">
      <selection activeCell="P20" sqref="P20"/>
    </sheetView>
  </sheetViews>
  <sheetFormatPr baseColWidth="10" defaultRowHeight="16"/>
  <cols>
    <col min="1" max="1" width="78.83203125" bestFit="1" customWidth="1"/>
    <col min="2" max="2" width="16.83203125" bestFit="1" customWidth="1"/>
    <col min="3" max="3" width="22.5" bestFit="1" customWidth="1"/>
    <col min="4" max="4" width="17.83203125" bestFit="1" customWidth="1"/>
    <col min="5" max="5" width="21" bestFit="1" customWidth="1"/>
    <col min="6" max="6" width="20.83203125" bestFit="1" customWidth="1"/>
    <col min="7" max="7" width="18" bestFit="1" customWidth="1"/>
    <col min="10" max="10" width="22.5" bestFit="1" customWidth="1"/>
  </cols>
  <sheetData>
    <row r="1" spans="1:12">
      <c r="A1" t="s">
        <v>23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J1" s="3" t="s">
        <v>116</v>
      </c>
      <c r="K1" s="3" t="s">
        <v>117</v>
      </c>
      <c r="L1" s="3" t="s">
        <v>118</v>
      </c>
    </row>
    <row r="2" spans="1:12" ht="19">
      <c r="A2" t="s">
        <v>38</v>
      </c>
      <c r="B2" s="9">
        <f>IF(ISNUMBER(SEARCH("Reduce middlemen",A2)),1,0)</f>
        <v>1</v>
      </c>
      <c r="C2" s="9">
        <f>IF(ISNUMBER(SEARCH("Better transport facilities",A2)),1,0)</f>
        <v>1</v>
      </c>
      <c r="D2" s="9">
        <f>IF(ISNUMBER(SEARCH("Awareness programs",A2)),1,0)</f>
        <v>0</v>
      </c>
      <c r="E2" s="9">
        <f>IF(ISNUMBER(SEARCH("Digital payment systems",A2)),1,0)</f>
        <v>0</v>
      </c>
      <c r="F2" s="9">
        <f>IF(ISNUMBER(SEARCH("Better storage facilities",A2)),1,0)</f>
        <v>0</v>
      </c>
      <c r="G2" s="9">
        <f>IF(ISNUMBER(SEARCH("Government support",A2)),1,0)</f>
        <v>1</v>
      </c>
      <c r="J2" s="1" t="s">
        <v>128</v>
      </c>
      <c r="K2" s="4">
        <f>B117</f>
        <v>32</v>
      </c>
      <c r="L2" s="4">
        <f>B117/115*100</f>
        <v>27.826086956521738</v>
      </c>
    </row>
    <row r="3" spans="1:12" ht="19">
      <c r="A3" t="s">
        <v>48</v>
      </c>
      <c r="B3" s="9">
        <f t="shared" ref="B3:B66" si="0">IF(ISNUMBER(SEARCH("Reduce middlemen",A3)),1,0)</f>
        <v>0</v>
      </c>
      <c r="C3" s="9">
        <f t="shared" ref="C3:C66" si="1">IF(ISNUMBER(SEARCH("Better transport facilities",A3)),1,0)</f>
        <v>0</v>
      </c>
      <c r="D3" s="9">
        <f t="shared" ref="D3:D66" si="2">IF(ISNUMBER(SEARCH("Awareness programs",A3)),1,0)</f>
        <v>1</v>
      </c>
      <c r="E3" s="9">
        <f t="shared" ref="E3:E66" si="3">IF(ISNUMBER(SEARCH("Digital payment systems",A3)),1,0)</f>
        <v>0</v>
      </c>
      <c r="F3" s="9">
        <f t="shared" ref="F3:F66" si="4">IF(ISNUMBER(SEARCH("Better storage facilities",A3)),1,0)</f>
        <v>1</v>
      </c>
      <c r="G3" s="9">
        <f t="shared" ref="G3:G66" si="5">IF(ISNUMBER(SEARCH("Government support",A3)),1,0)</f>
        <v>0</v>
      </c>
      <c r="J3" s="1" t="s">
        <v>129</v>
      </c>
      <c r="K3" s="4">
        <f>C117</f>
        <v>18</v>
      </c>
      <c r="L3" s="4">
        <f>C117/115*100</f>
        <v>15.65217391304348</v>
      </c>
    </row>
    <row r="4" spans="1:12" ht="19">
      <c r="A4" t="s">
        <v>60</v>
      </c>
      <c r="B4" s="9">
        <f t="shared" si="0"/>
        <v>0</v>
      </c>
      <c r="C4" s="9">
        <f t="shared" si="1"/>
        <v>0</v>
      </c>
      <c r="D4" s="9">
        <f t="shared" si="2"/>
        <v>1</v>
      </c>
      <c r="E4" s="9">
        <f t="shared" si="3"/>
        <v>1</v>
      </c>
      <c r="F4" s="9">
        <f t="shared" si="4"/>
        <v>0</v>
      </c>
      <c r="G4" s="9">
        <f t="shared" si="5"/>
        <v>0</v>
      </c>
      <c r="J4" s="1" t="s">
        <v>130</v>
      </c>
      <c r="K4" s="4">
        <f>D117</f>
        <v>56</v>
      </c>
      <c r="L4" s="4">
        <f>D117/115*100</f>
        <v>48.695652173913047</v>
      </c>
    </row>
    <row r="5" spans="1:12" ht="19">
      <c r="A5" t="s">
        <v>64</v>
      </c>
      <c r="B5" s="9">
        <f t="shared" si="0"/>
        <v>1</v>
      </c>
      <c r="C5" s="9">
        <f t="shared" si="1"/>
        <v>0</v>
      </c>
      <c r="D5" s="9">
        <f t="shared" si="2"/>
        <v>0</v>
      </c>
      <c r="E5" s="9">
        <f t="shared" si="3"/>
        <v>0</v>
      </c>
      <c r="F5" s="9">
        <f t="shared" si="4"/>
        <v>0</v>
      </c>
      <c r="G5" s="9">
        <f t="shared" si="5"/>
        <v>1</v>
      </c>
      <c r="J5" s="1" t="s">
        <v>131</v>
      </c>
      <c r="K5" s="4">
        <f>E117</f>
        <v>35</v>
      </c>
      <c r="L5" s="4">
        <f>E117/115*100</f>
        <v>30.434782608695656</v>
      </c>
    </row>
    <row r="6" spans="1:12" ht="19">
      <c r="A6" t="s">
        <v>69</v>
      </c>
      <c r="B6" s="9">
        <f t="shared" si="0"/>
        <v>0</v>
      </c>
      <c r="C6" s="9">
        <f t="shared" si="1"/>
        <v>1</v>
      </c>
      <c r="D6" s="9">
        <f t="shared" si="2"/>
        <v>1</v>
      </c>
      <c r="E6" s="9">
        <f t="shared" si="3"/>
        <v>0</v>
      </c>
      <c r="F6" s="9">
        <f t="shared" si="4"/>
        <v>0</v>
      </c>
      <c r="G6" s="9">
        <f t="shared" si="5"/>
        <v>0</v>
      </c>
      <c r="J6" s="1" t="s">
        <v>132</v>
      </c>
      <c r="K6" s="4">
        <f>F117</f>
        <v>33</v>
      </c>
      <c r="L6" s="4">
        <f>F117/115*100</f>
        <v>28.695652173913043</v>
      </c>
    </row>
    <row r="7" spans="1:12" ht="19">
      <c r="A7" t="s">
        <v>74</v>
      </c>
      <c r="B7" s="9">
        <f t="shared" si="0"/>
        <v>0</v>
      </c>
      <c r="C7" s="9">
        <f t="shared" si="1"/>
        <v>0</v>
      </c>
      <c r="D7" s="9">
        <f t="shared" si="2"/>
        <v>0</v>
      </c>
      <c r="E7" s="9">
        <f t="shared" si="3"/>
        <v>0</v>
      </c>
      <c r="F7" s="9">
        <f t="shared" si="4"/>
        <v>1</v>
      </c>
      <c r="G7" s="9">
        <f t="shared" si="5"/>
        <v>1</v>
      </c>
      <c r="J7" s="1" t="s">
        <v>133</v>
      </c>
      <c r="K7" s="4">
        <f>G117</f>
        <v>57</v>
      </c>
      <c r="L7" s="4">
        <f>G117/115*100</f>
        <v>49.565217391304351</v>
      </c>
    </row>
    <row r="8" spans="1:12" ht="18">
      <c r="A8" t="s">
        <v>80</v>
      </c>
      <c r="B8" s="9">
        <f t="shared" si="0"/>
        <v>0</v>
      </c>
      <c r="C8" s="9">
        <f t="shared" si="1"/>
        <v>0</v>
      </c>
      <c r="D8" s="9">
        <f t="shared" si="2"/>
        <v>1</v>
      </c>
      <c r="E8" s="9">
        <f t="shared" si="3"/>
        <v>1</v>
      </c>
      <c r="F8" s="9">
        <f t="shared" si="4"/>
        <v>0</v>
      </c>
      <c r="G8" s="9">
        <f t="shared" si="5"/>
        <v>0</v>
      </c>
    </row>
    <row r="9" spans="1:12" ht="18">
      <c r="A9" t="s">
        <v>85</v>
      </c>
      <c r="B9" s="9">
        <f t="shared" si="0"/>
        <v>1</v>
      </c>
      <c r="C9" s="9">
        <f t="shared" si="1"/>
        <v>0</v>
      </c>
      <c r="D9" s="9">
        <f t="shared" si="2"/>
        <v>0</v>
      </c>
      <c r="E9" s="9">
        <f t="shared" si="3"/>
        <v>0</v>
      </c>
      <c r="F9" s="9">
        <f t="shared" si="4"/>
        <v>1</v>
      </c>
      <c r="G9" s="9">
        <f t="shared" si="5"/>
        <v>0</v>
      </c>
    </row>
    <row r="10" spans="1:12" ht="18">
      <c r="A10" t="s">
        <v>89</v>
      </c>
      <c r="B10" s="9">
        <f t="shared" si="0"/>
        <v>0</v>
      </c>
      <c r="C10" s="9">
        <f t="shared" si="1"/>
        <v>1</v>
      </c>
      <c r="D10" s="9">
        <f t="shared" si="2"/>
        <v>1</v>
      </c>
      <c r="E10" s="9">
        <f t="shared" si="3"/>
        <v>0</v>
      </c>
      <c r="F10" s="9">
        <f t="shared" si="4"/>
        <v>0</v>
      </c>
      <c r="G10" s="9">
        <f t="shared" si="5"/>
        <v>0</v>
      </c>
    </row>
    <row r="11" spans="1:12" ht="18">
      <c r="A11" t="s">
        <v>91</v>
      </c>
      <c r="B11" s="9">
        <f t="shared" si="0"/>
        <v>0</v>
      </c>
      <c r="C11" s="9">
        <f t="shared" si="1"/>
        <v>0</v>
      </c>
      <c r="D11" s="9">
        <f t="shared" si="2"/>
        <v>0</v>
      </c>
      <c r="E11" s="9">
        <f t="shared" si="3"/>
        <v>0</v>
      </c>
      <c r="F11" s="9">
        <f t="shared" si="4"/>
        <v>1</v>
      </c>
      <c r="G11" s="9">
        <f t="shared" si="5"/>
        <v>1</v>
      </c>
    </row>
    <row r="12" spans="1:12" ht="18">
      <c r="A12" t="s">
        <v>64</v>
      </c>
      <c r="B12" s="9">
        <f t="shared" si="0"/>
        <v>1</v>
      </c>
      <c r="C12" s="9">
        <f t="shared" si="1"/>
        <v>0</v>
      </c>
      <c r="D12" s="9">
        <f t="shared" si="2"/>
        <v>0</v>
      </c>
      <c r="E12" s="9">
        <f t="shared" si="3"/>
        <v>0</v>
      </c>
      <c r="F12" s="9">
        <f t="shared" si="4"/>
        <v>0</v>
      </c>
      <c r="G12" s="9">
        <f t="shared" si="5"/>
        <v>1</v>
      </c>
    </row>
    <row r="13" spans="1:12" ht="18">
      <c r="A13" t="s">
        <v>60</v>
      </c>
      <c r="B13" s="9">
        <f t="shared" si="0"/>
        <v>0</v>
      </c>
      <c r="C13" s="9">
        <f t="shared" si="1"/>
        <v>0</v>
      </c>
      <c r="D13" s="9">
        <f t="shared" si="2"/>
        <v>1</v>
      </c>
      <c r="E13" s="9">
        <f t="shared" si="3"/>
        <v>1</v>
      </c>
      <c r="F13" s="9">
        <f t="shared" si="4"/>
        <v>0</v>
      </c>
      <c r="G13" s="9">
        <f t="shared" si="5"/>
        <v>0</v>
      </c>
    </row>
    <row r="14" spans="1:12" ht="18">
      <c r="A14" t="s">
        <v>74</v>
      </c>
      <c r="B14" s="9">
        <f t="shared" si="0"/>
        <v>0</v>
      </c>
      <c r="C14" s="9">
        <f t="shared" si="1"/>
        <v>0</v>
      </c>
      <c r="D14" s="9">
        <f t="shared" si="2"/>
        <v>0</v>
      </c>
      <c r="E14" s="9">
        <f t="shared" si="3"/>
        <v>0</v>
      </c>
      <c r="F14" s="9">
        <f t="shared" si="4"/>
        <v>1</v>
      </c>
      <c r="G14" s="9">
        <f t="shared" si="5"/>
        <v>1</v>
      </c>
    </row>
    <row r="15" spans="1:12" ht="18">
      <c r="A15" t="s">
        <v>96</v>
      </c>
      <c r="B15" s="9">
        <f t="shared" si="0"/>
        <v>1</v>
      </c>
      <c r="C15" s="9">
        <f t="shared" si="1"/>
        <v>1</v>
      </c>
      <c r="D15" s="9">
        <f t="shared" si="2"/>
        <v>0</v>
      </c>
      <c r="E15" s="9">
        <f t="shared" si="3"/>
        <v>0</v>
      </c>
      <c r="F15" s="9">
        <f t="shared" si="4"/>
        <v>0</v>
      </c>
      <c r="G15" s="9">
        <f t="shared" si="5"/>
        <v>0</v>
      </c>
    </row>
    <row r="16" spans="1:12" ht="18">
      <c r="A16" t="s">
        <v>60</v>
      </c>
      <c r="B16" s="9">
        <f t="shared" si="0"/>
        <v>0</v>
      </c>
      <c r="C16" s="9">
        <f t="shared" si="1"/>
        <v>0</v>
      </c>
      <c r="D16" s="9">
        <f t="shared" si="2"/>
        <v>1</v>
      </c>
      <c r="E16" s="9">
        <f t="shared" si="3"/>
        <v>1</v>
      </c>
      <c r="F16" s="9">
        <f t="shared" si="4"/>
        <v>0</v>
      </c>
      <c r="G16" s="9">
        <f t="shared" si="5"/>
        <v>0</v>
      </c>
    </row>
    <row r="17" spans="1:7" ht="18">
      <c r="A17" t="s">
        <v>91</v>
      </c>
      <c r="B17" s="9">
        <f t="shared" si="0"/>
        <v>0</v>
      </c>
      <c r="C17" s="9">
        <f t="shared" si="1"/>
        <v>0</v>
      </c>
      <c r="D17" s="9">
        <f t="shared" si="2"/>
        <v>0</v>
      </c>
      <c r="E17" s="9">
        <f t="shared" si="3"/>
        <v>0</v>
      </c>
      <c r="F17" s="9">
        <f t="shared" si="4"/>
        <v>1</v>
      </c>
      <c r="G17" s="9">
        <f t="shared" si="5"/>
        <v>1</v>
      </c>
    </row>
    <row r="18" spans="1:7" ht="18">
      <c r="A18" t="s">
        <v>64</v>
      </c>
      <c r="B18" s="9">
        <f t="shared" si="0"/>
        <v>1</v>
      </c>
      <c r="C18" s="9">
        <f t="shared" si="1"/>
        <v>0</v>
      </c>
      <c r="D18" s="9">
        <f t="shared" si="2"/>
        <v>0</v>
      </c>
      <c r="E18" s="9">
        <f t="shared" si="3"/>
        <v>0</v>
      </c>
      <c r="F18" s="9">
        <f t="shared" si="4"/>
        <v>0</v>
      </c>
      <c r="G18" s="9">
        <f t="shared" si="5"/>
        <v>1</v>
      </c>
    </row>
    <row r="19" spans="1:7" ht="18">
      <c r="A19" t="s">
        <v>60</v>
      </c>
      <c r="B19" s="9">
        <f t="shared" si="0"/>
        <v>0</v>
      </c>
      <c r="C19" s="9">
        <f t="shared" si="1"/>
        <v>0</v>
      </c>
      <c r="D19" s="9">
        <f t="shared" si="2"/>
        <v>1</v>
      </c>
      <c r="E19" s="9">
        <f t="shared" si="3"/>
        <v>1</v>
      </c>
      <c r="F19" s="9">
        <f t="shared" si="4"/>
        <v>0</v>
      </c>
      <c r="G19" s="9">
        <f t="shared" si="5"/>
        <v>0</v>
      </c>
    </row>
    <row r="20" spans="1:7" ht="18">
      <c r="A20" t="s">
        <v>74</v>
      </c>
      <c r="B20" s="9">
        <f t="shared" si="0"/>
        <v>0</v>
      </c>
      <c r="C20" s="9">
        <f t="shared" si="1"/>
        <v>0</v>
      </c>
      <c r="D20" s="9">
        <f t="shared" si="2"/>
        <v>0</v>
      </c>
      <c r="E20" s="9">
        <f t="shared" si="3"/>
        <v>0</v>
      </c>
      <c r="F20" s="9">
        <f t="shared" si="4"/>
        <v>1</v>
      </c>
      <c r="G20" s="9">
        <f t="shared" si="5"/>
        <v>1</v>
      </c>
    </row>
    <row r="21" spans="1:7" ht="18">
      <c r="A21" t="s">
        <v>89</v>
      </c>
      <c r="B21" s="9">
        <f t="shared" si="0"/>
        <v>0</v>
      </c>
      <c r="C21" s="9">
        <f t="shared" si="1"/>
        <v>1</v>
      </c>
      <c r="D21" s="9">
        <f t="shared" si="2"/>
        <v>1</v>
      </c>
      <c r="E21" s="9">
        <f t="shared" si="3"/>
        <v>0</v>
      </c>
      <c r="F21" s="9">
        <f t="shared" si="4"/>
        <v>0</v>
      </c>
      <c r="G21" s="9">
        <f t="shared" si="5"/>
        <v>0</v>
      </c>
    </row>
    <row r="22" spans="1:7" ht="18">
      <c r="A22" t="s">
        <v>64</v>
      </c>
      <c r="B22" s="9">
        <f t="shared" si="0"/>
        <v>1</v>
      </c>
      <c r="C22" s="9">
        <f t="shared" si="1"/>
        <v>0</v>
      </c>
      <c r="D22" s="9">
        <f t="shared" si="2"/>
        <v>0</v>
      </c>
      <c r="E22" s="9">
        <f t="shared" si="3"/>
        <v>0</v>
      </c>
      <c r="F22" s="9">
        <f t="shared" si="4"/>
        <v>0</v>
      </c>
      <c r="G22" s="9">
        <f t="shared" si="5"/>
        <v>1</v>
      </c>
    </row>
    <row r="23" spans="1:7" ht="18">
      <c r="A23" t="s">
        <v>69</v>
      </c>
      <c r="B23" s="9">
        <f t="shared" si="0"/>
        <v>0</v>
      </c>
      <c r="C23" s="9">
        <f t="shared" si="1"/>
        <v>1</v>
      </c>
      <c r="D23" s="9">
        <f t="shared" si="2"/>
        <v>1</v>
      </c>
      <c r="E23" s="9">
        <f t="shared" si="3"/>
        <v>0</v>
      </c>
      <c r="F23" s="9">
        <f t="shared" si="4"/>
        <v>0</v>
      </c>
      <c r="G23" s="9">
        <f t="shared" si="5"/>
        <v>0</v>
      </c>
    </row>
    <row r="24" spans="1:7" ht="18">
      <c r="A24" t="s">
        <v>91</v>
      </c>
      <c r="B24" s="9">
        <f t="shared" si="0"/>
        <v>0</v>
      </c>
      <c r="C24" s="9">
        <f t="shared" si="1"/>
        <v>0</v>
      </c>
      <c r="D24" s="9">
        <f t="shared" si="2"/>
        <v>0</v>
      </c>
      <c r="E24" s="9">
        <f t="shared" si="3"/>
        <v>0</v>
      </c>
      <c r="F24" s="9">
        <f t="shared" si="4"/>
        <v>1</v>
      </c>
      <c r="G24" s="9">
        <f t="shared" si="5"/>
        <v>1</v>
      </c>
    </row>
    <row r="25" spans="1:7" ht="18">
      <c r="A25" t="s">
        <v>80</v>
      </c>
      <c r="B25" s="9">
        <f t="shared" si="0"/>
        <v>0</v>
      </c>
      <c r="C25" s="9">
        <f t="shared" si="1"/>
        <v>0</v>
      </c>
      <c r="D25" s="9">
        <f t="shared" si="2"/>
        <v>1</v>
      </c>
      <c r="E25" s="9">
        <f t="shared" si="3"/>
        <v>1</v>
      </c>
      <c r="F25" s="9">
        <f t="shared" si="4"/>
        <v>0</v>
      </c>
      <c r="G25" s="9">
        <f t="shared" si="5"/>
        <v>0</v>
      </c>
    </row>
    <row r="26" spans="1:7" ht="18">
      <c r="A26" t="s">
        <v>64</v>
      </c>
      <c r="B26" s="9">
        <f t="shared" si="0"/>
        <v>1</v>
      </c>
      <c r="C26" s="9">
        <f t="shared" si="1"/>
        <v>0</v>
      </c>
      <c r="D26" s="9">
        <f t="shared" si="2"/>
        <v>0</v>
      </c>
      <c r="E26" s="9">
        <f t="shared" si="3"/>
        <v>0</v>
      </c>
      <c r="F26" s="9">
        <f t="shared" si="4"/>
        <v>0</v>
      </c>
      <c r="G26" s="9">
        <f t="shared" si="5"/>
        <v>1</v>
      </c>
    </row>
    <row r="27" spans="1:7" ht="18">
      <c r="A27" t="s">
        <v>89</v>
      </c>
      <c r="B27" s="9">
        <f t="shared" si="0"/>
        <v>0</v>
      </c>
      <c r="C27" s="9">
        <f t="shared" si="1"/>
        <v>1</v>
      </c>
      <c r="D27" s="9">
        <f t="shared" si="2"/>
        <v>1</v>
      </c>
      <c r="E27" s="9">
        <f t="shared" si="3"/>
        <v>0</v>
      </c>
      <c r="F27" s="9">
        <f t="shared" si="4"/>
        <v>0</v>
      </c>
      <c r="G27" s="9">
        <f t="shared" si="5"/>
        <v>0</v>
      </c>
    </row>
    <row r="28" spans="1:7" ht="18">
      <c r="A28" t="s">
        <v>74</v>
      </c>
      <c r="B28" s="9">
        <f t="shared" si="0"/>
        <v>0</v>
      </c>
      <c r="C28" s="9">
        <f t="shared" si="1"/>
        <v>0</v>
      </c>
      <c r="D28" s="9">
        <f t="shared" si="2"/>
        <v>0</v>
      </c>
      <c r="E28" s="9">
        <f t="shared" si="3"/>
        <v>0</v>
      </c>
      <c r="F28" s="9">
        <f t="shared" si="4"/>
        <v>1</v>
      </c>
      <c r="G28" s="9">
        <f t="shared" si="5"/>
        <v>1</v>
      </c>
    </row>
    <row r="29" spans="1:7" ht="18">
      <c r="A29" t="s">
        <v>80</v>
      </c>
      <c r="B29" s="9">
        <f t="shared" si="0"/>
        <v>0</v>
      </c>
      <c r="C29" s="9">
        <f t="shared" si="1"/>
        <v>0</v>
      </c>
      <c r="D29" s="9">
        <f t="shared" si="2"/>
        <v>1</v>
      </c>
      <c r="E29" s="9">
        <f t="shared" si="3"/>
        <v>1</v>
      </c>
      <c r="F29" s="9">
        <f t="shared" si="4"/>
        <v>0</v>
      </c>
      <c r="G29" s="9">
        <f t="shared" si="5"/>
        <v>0</v>
      </c>
    </row>
    <row r="30" spans="1:7" ht="18">
      <c r="A30" t="s">
        <v>64</v>
      </c>
      <c r="B30" s="9">
        <f t="shared" si="0"/>
        <v>1</v>
      </c>
      <c r="C30" s="9">
        <f t="shared" si="1"/>
        <v>0</v>
      </c>
      <c r="D30" s="9">
        <f t="shared" si="2"/>
        <v>0</v>
      </c>
      <c r="E30" s="9">
        <f t="shared" si="3"/>
        <v>0</v>
      </c>
      <c r="F30" s="9">
        <f t="shared" si="4"/>
        <v>0</v>
      </c>
      <c r="G30" s="9">
        <f t="shared" si="5"/>
        <v>1</v>
      </c>
    </row>
    <row r="31" spans="1:7" ht="18">
      <c r="A31" t="s">
        <v>48</v>
      </c>
      <c r="B31" s="9">
        <f t="shared" si="0"/>
        <v>0</v>
      </c>
      <c r="C31" s="9">
        <f t="shared" si="1"/>
        <v>0</v>
      </c>
      <c r="D31" s="9">
        <f t="shared" si="2"/>
        <v>1</v>
      </c>
      <c r="E31" s="9">
        <f t="shared" si="3"/>
        <v>0</v>
      </c>
      <c r="F31" s="9">
        <f t="shared" si="4"/>
        <v>1</v>
      </c>
      <c r="G31" s="9">
        <f t="shared" si="5"/>
        <v>0</v>
      </c>
    </row>
    <row r="32" spans="1:7" ht="18">
      <c r="A32" t="s">
        <v>104</v>
      </c>
      <c r="B32" s="9">
        <f t="shared" si="0"/>
        <v>0</v>
      </c>
      <c r="C32" s="9">
        <f t="shared" si="1"/>
        <v>1</v>
      </c>
      <c r="D32" s="9">
        <f t="shared" si="2"/>
        <v>0</v>
      </c>
      <c r="E32" s="9">
        <f t="shared" si="3"/>
        <v>0</v>
      </c>
      <c r="F32" s="9">
        <f t="shared" si="4"/>
        <v>0</v>
      </c>
      <c r="G32" s="9">
        <f t="shared" si="5"/>
        <v>1</v>
      </c>
    </row>
    <row r="33" spans="1:7" ht="18">
      <c r="A33" t="s">
        <v>60</v>
      </c>
      <c r="B33" s="9">
        <f t="shared" si="0"/>
        <v>0</v>
      </c>
      <c r="C33" s="9">
        <f t="shared" si="1"/>
        <v>0</v>
      </c>
      <c r="D33" s="9">
        <f t="shared" si="2"/>
        <v>1</v>
      </c>
      <c r="E33" s="9">
        <f t="shared" si="3"/>
        <v>1</v>
      </c>
      <c r="F33" s="9">
        <f t="shared" si="4"/>
        <v>0</v>
      </c>
      <c r="G33" s="9">
        <f t="shared" si="5"/>
        <v>0</v>
      </c>
    </row>
    <row r="34" spans="1:7" ht="18">
      <c r="A34" t="s">
        <v>64</v>
      </c>
      <c r="B34" s="9">
        <f t="shared" si="0"/>
        <v>1</v>
      </c>
      <c r="C34" s="9">
        <f t="shared" si="1"/>
        <v>0</v>
      </c>
      <c r="D34" s="9">
        <f t="shared" si="2"/>
        <v>0</v>
      </c>
      <c r="E34" s="9">
        <f t="shared" si="3"/>
        <v>0</v>
      </c>
      <c r="F34" s="9">
        <f t="shared" si="4"/>
        <v>0</v>
      </c>
      <c r="G34" s="9">
        <f t="shared" si="5"/>
        <v>1</v>
      </c>
    </row>
    <row r="35" spans="1:7" ht="18">
      <c r="A35" t="s">
        <v>89</v>
      </c>
      <c r="B35" s="9">
        <f t="shared" si="0"/>
        <v>0</v>
      </c>
      <c r="C35" s="9">
        <f t="shared" si="1"/>
        <v>1</v>
      </c>
      <c r="D35" s="9">
        <f t="shared" si="2"/>
        <v>1</v>
      </c>
      <c r="E35" s="9">
        <f t="shared" si="3"/>
        <v>0</v>
      </c>
      <c r="F35" s="9">
        <f t="shared" si="4"/>
        <v>0</v>
      </c>
      <c r="G35" s="9">
        <f t="shared" si="5"/>
        <v>0</v>
      </c>
    </row>
    <row r="36" spans="1:7" ht="18">
      <c r="A36" t="s">
        <v>74</v>
      </c>
      <c r="B36" s="9">
        <f t="shared" si="0"/>
        <v>0</v>
      </c>
      <c r="C36" s="9">
        <f t="shared" si="1"/>
        <v>0</v>
      </c>
      <c r="D36" s="9">
        <f t="shared" si="2"/>
        <v>0</v>
      </c>
      <c r="E36" s="9">
        <f t="shared" si="3"/>
        <v>0</v>
      </c>
      <c r="F36" s="9">
        <f t="shared" si="4"/>
        <v>1</v>
      </c>
      <c r="G36" s="9">
        <f t="shared" si="5"/>
        <v>1</v>
      </c>
    </row>
    <row r="37" spans="1:7" ht="18">
      <c r="A37" t="s">
        <v>60</v>
      </c>
      <c r="B37" s="9">
        <f t="shared" si="0"/>
        <v>0</v>
      </c>
      <c r="C37" s="9">
        <f t="shared" si="1"/>
        <v>0</v>
      </c>
      <c r="D37" s="9">
        <f t="shared" si="2"/>
        <v>1</v>
      </c>
      <c r="E37" s="9">
        <f t="shared" si="3"/>
        <v>1</v>
      </c>
      <c r="F37" s="9">
        <f t="shared" si="4"/>
        <v>0</v>
      </c>
      <c r="G37" s="9">
        <f t="shared" si="5"/>
        <v>0</v>
      </c>
    </row>
    <row r="38" spans="1:7" ht="18">
      <c r="A38" t="s">
        <v>64</v>
      </c>
      <c r="B38" s="9">
        <f t="shared" si="0"/>
        <v>1</v>
      </c>
      <c r="C38" s="9">
        <f t="shared" si="1"/>
        <v>0</v>
      </c>
      <c r="D38" s="9">
        <f t="shared" si="2"/>
        <v>0</v>
      </c>
      <c r="E38" s="9">
        <f t="shared" si="3"/>
        <v>0</v>
      </c>
      <c r="F38" s="9">
        <f t="shared" si="4"/>
        <v>0</v>
      </c>
      <c r="G38" s="9">
        <f t="shared" si="5"/>
        <v>1</v>
      </c>
    </row>
    <row r="39" spans="1:7" ht="18">
      <c r="A39" t="s">
        <v>48</v>
      </c>
      <c r="B39" s="9">
        <f t="shared" si="0"/>
        <v>0</v>
      </c>
      <c r="C39" s="9">
        <f t="shared" si="1"/>
        <v>0</v>
      </c>
      <c r="D39" s="9">
        <f t="shared" si="2"/>
        <v>1</v>
      </c>
      <c r="E39" s="9">
        <f t="shared" si="3"/>
        <v>0</v>
      </c>
      <c r="F39" s="9">
        <f t="shared" si="4"/>
        <v>1</v>
      </c>
      <c r="G39" s="9">
        <f t="shared" si="5"/>
        <v>0</v>
      </c>
    </row>
    <row r="40" spans="1:7" ht="18">
      <c r="A40" t="s">
        <v>104</v>
      </c>
      <c r="B40" s="9">
        <f t="shared" si="0"/>
        <v>0</v>
      </c>
      <c r="C40" s="9">
        <f t="shared" si="1"/>
        <v>1</v>
      </c>
      <c r="D40" s="9">
        <f t="shared" si="2"/>
        <v>0</v>
      </c>
      <c r="E40" s="9">
        <f t="shared" si="3"/>
        <v>0</v>
      </c>
      <c r="F40" s="9">
        <f t="shared" si="4"/>
        <v>0</v>
      </c>
      <c r="G40" s="9">
        <f t="shared" si="5"/>
        <v>1</v>
      </c>
    </row>
    <row r="41" spans="1:7" ht="18">
      <c r="A41" t="s">
        <v>60</v>
      </c>
      <c r="B41" s="9">
        <f t="shared" si="0"/>
        <v>0</v>
      </c>
      <c r="C41" s="9">
        <f t="shared" si="1"/>
        <v>0</v>
      </c>
      <c r="D41" s="9">
        <f t="shared" si="2"/>
        <v>1</v>
      </c>
      <c r="E41" s="9">
        <f t="shared" si="3"/>
        <v>1</v>
      </c>
      <c r="F41" s="9">
        <f t="shared" si="4"/>
        <v>0</v>
      </c>
      <c r="G41" s="9">
        <f t="shared" si="5"/>
        <v>0</v>
      </c>
    </row>
    <row r="42" spans="1:7" ht="18">
      <c r="A42" t="s">
        <v>64</v>
      </c>
      <c r="B42" s="9">
        <f t="shared" si="0"/>
        <v>1</v>
      </c>
      <c r="C42" s="9">
        <f t="shared" si="1"/>
        <v>0</v>
      </c>
      <c r="D42" s="9">
        <f t="shared" si="2"/>
        <v>0</v>
      </c>
      <c r="E42" s="9">
        <f t="shared" si="3"/>
        <v>0</v>
      </c>
      <c r="F42" s="9">
        <f t="shared" si="4"/>
        <v>0</v>
      </c>
      <c r="G42" s="9">
        <f t="shared" si="5"/>
        <v>1</v>
      </c>
    </row>
    <row r="43" spans="1:7" ht="18">
      <c r="A43" t="s">
        <v>60</v>
      </c>
      <c r="B43" s="9">
        <f t="shared" si="0"/>
        <v>0</v>
      </c>
      <c r="C43" s="9">
        <f t="shared" si="1"/>
        <v>0</v>
      </c>
      <c r="D43" s="9">
        <f t="shared" si="2"/>
        <v>1</v>
      </c>
      <c r="E43" s="9">
        <f t="shared" si="3"/>
        <v>1</v>
      </c>
      <c r="F43" s="9">
        <f t="shared" si="4"/>
        <v>0</v>
      </c>
      <c r="G43" s="9">
        <f t="shared" si="5"/>
        <v>0</v>
      </c>
    </row>
    <row r="44" spans="1:7" ht="18">
      <c r="A44" t="s">
        <v>80</v>
      </c>
      <c r="B44" s="9">
        <f t="shared" si="0"/>
        <v>0</v>
      </c>
      <c r="C44" s="9">
        <f t="shared" si="1"/>
        <v>0</v>
      </c>
      <c r="D44" s="9">
        <f t="shared" si="2"/>
        <v>1</v>
      </c>
      <c r="E44" s="9">
        <f t="shared" si="3"/>
        <v>1</v>
      </c>
      <c r="F44" s="9">
        <f t="shared" si="4"/>
        <v>0</v>
      </c>
      <c r="G44" s="9">
        <f t="shared" si="5"/>
        <v>0</v>
      </c>
    </row>
    <row r="45" spans="1:7" ht="18">
      <c r="A45" t="s">
        <v>74</v>
      </c>
      <c r="B45" s="9">
        <f t="shared" si="0"/>
        <v>0</v>
      </c>
      <c r="C45" s="9">
        <f t="shared" si="1"/>
        <v>0</v>
      </c>
      <c r="D45" s="9">
        <f t="shared" si="2"/>
        <v>0</v>
      </c>
      <c r="E45" s="9">
        <f t="shared" si="3"/>
        <v>0</v>
      </c>
      <c r="F45" s="9">
        <f t="shared" si="4"/>
        <v>1</v>
      </c>
      <c r="G45" s="9">
        <f t="shared" si="5"/>
        <v>1</v>
      </c>
    </row>
    <row r="46" spans="1:7" ht="18">
      <c r="A46" t="s">
        <v>96</v>
      </c>
      <c r="B46" s="9">
        <f t="shared" si="0"/>
        <v>1</v>
      </c>
      <c r="C46" s="9">
        <f t="shared" si="1"/>
        <v>1</v>
      </c>
      <c r="D46" s="9">
        <f t="shared" si="2"/>
        <v>0</v>
      </c>
      <c r="E46" s="9">
        <f t="shared" si="3"/>
        <v>0</v>
      </c>
      <c r="F46" s="9">
        <f t="shared" si="4"/>
        <v>0</v>
      </c>
      <c r="G46" s="9">
        <f t="shared" si="5"/>
        <v>0</v>
      </c>
    </row>
    <row r="47" spans="1:7" ht="18">
      <c r="A47" t="s">
        <v>107</v>
      </c>
      <c r="B47" s="9">
        <f t="shared" si="0"/>
        <v>0</v>
      </c>
      <c r="C47" s="9">
        <f t="shared" si="1"/>
        <v>0</v>
      </c>
      <c r="D47" s="9">
        <f t="shared" si="2"/>
        <v>1</v>
      </c>
      <c r="E47" s="9">
        <f t="shared" si="3"/>
        <v>0</v>
      </c>
      <c r="F47" s="9">
        <f t="shared" si="4"/>
        <v>0</v>
      </c>
      <c r="G47" s="9">
        <f t="shared" si="5"/>
        <v>1</v>
      </c>
    </row>
    <row r="48" spans="1:7" ht="18">
      <c r="A48" t="s">
        <v>80</v>
      </c>
      <c r="B48" s="9">
        <f t="shared" si="0"/>
        <v>0</v>
      </c>
      <c r="C48" s="9">
        <f t="shared" si="1"/>
        <v>0</v>
      </c>
      <c r="D48" s="9">
        <f t="shared" si="2"/>
        <v>1</v>
      </c>
      <c r="E48" s="9">
        <f t="shared" si="3"/>
        <v>1</v>
      </c>
      <c r="F48" s="9">
        <f t="shared" si="4"/>
        <v>0</v>
      </c>
      <c r="G48" s="9">
        <f t="shared" si="5"/>
        <v>0</v>
      </c>
    </row>
    <row r="49" spans="1:7" ht="18">
      <c r="A49" t="s">
        <v>74</v>
      </c>
      <c r="B49" s="9">
        <f t="shared" si="0"/>
        <v>0</v>
      </c>
      <c r="C49" s="9">
        <f t="shared" si="1"/>
        <v>0</v>
      </c>
      <c r="D49" s="9">
        <f t="shared" si="2"/>
        <v>0</v>
      </c>
      <c r="E49" s="9">
        <f t="shared" si="3"/>
        <v>0</v>
      </c>
      <c r="F49" s="9">
        <f t="shared" si="4"/>
        <v>1</v>
      </c>
      <c r="G49" s="9">
        <f t="shared" si="5"/>
        <v>1</v>
      </c>
    </row>
    <row r="50" spans="1:7" ht="18">
      <c r="A50" t="s">
        <v>64</v>
      </c>
      <c r="B50" s="9">
        <f t="shared" si="0"/>
        <v>1</v>
      </c>
      <c r="C50" s="9">
        <f t="shared" si="1"/>
        <v>0</v>
      </c>
      <c r="D50" s="9">
        <f t="shared" si="2"/>
        <v>0</v>
      </c>
      <c r="E50" s="9">
        <f t="shared" si="3"/>
        <v>0</v>
      </c>
      <c r="F50" s="9">
        <f t="shared" si="4"/>
        <v>0</v>
      </c>
      <c r="G50" s="9">
        <f t="shared" si="5"/>
        <v>1</v>
      </c>
    </row>
    <row r="51" spans="1:7" ht="18">
      <c r="A51" t="s">
        <v>60</v>
      </c>
      <c r="B51" s="9">
        <f t="shared" si="0"/>
        <v>0</v>
      </c>
      <c r="C51" s="9">
        <f t="shared" si="1"/>
        <v>0</v>
      </c>
      <c r="D51" s="9">
        <f t="shared" si="2"/>
        <v>1</v>
      </c>
      <c r="E51" s="9">
        <f t="shared" si="3"/>
        <v>1</v>
      </c>
      <c r="F51" s="9">
        <f t="shared" si="4"/>
        <v>0</v>
      </c>
      <c r="G51" s="9">
        <f t="shared" si="5"/>
        <v>0</v>
      </c>
    </row>
    <row r="52" spans="1:7" ht="18">
      <c r="A52" t="s">
        <v>64</v>
      </c>
      <c r="B52" s="9">
        <f t="shared" si="0"/>
        <v>1</v>
      </c>
      <c r="C52" s="9">
        <f t="shared" si="1"/>
        <v>0</v>
      </c>
      <c r="D52" s="9">
        <f t="shared" si="2"/>
        <v>0</v>
      </c>
      <c r="E52" s="9">
        <f t="shared" si="3"/>
        <v>0</v>
      </c>
      <c r="F52" s="9">
        <f t="shared" si="4"/>
        <v>0</v>
      </c>
      <c r="G52" s="9">
        <f t="shared" si="5"/>
        <v>1</v>
      </c>
    </row>
    <row r="53" spans="1:7" ht="18">
      <c r="A53" t="s">
        <v>74</v>
      </c>
      <c r="B53" s="9">
        <f t="shared" si="0"/>
        <v>0</v>
      </c>
      <c r="C53" s="9">
        <f t="shared" si="1"/>
        <v>0</v>
      </c>
      <c r="D53" s="9">
        <f t="shared" si="2"/>
        <v>0</v>
      </c>
      <c r="E53" s="9">
        <f t="shared" si="3"/>
        <v>0</v>
      </c>
      <c r="F53" s="9">
        <f t="shared" si="4"/>
        <v>1</v>
      </c>
      <c r="G53" s="9">
        <f t="shared" si="5"/>
        <v>1</v>
      </c>
    </row>
    <row r="54" spans="1:7" ht="18">
      <c r="A54" t="s">
        <v>80</v>
      </c>
      <c r="B54" s="9">
        <f t="shared" si="0"/>
        <v>0</v>
      </c>
      <c r="C54" s="9">
        <f t="shared" si="1"/>
        <v>0</v>
      </c>
      <c r="D54" s="9">
        <f t="shared" si="2"/>
        <v>1</v>
      </c>
      <c r="E54" s="9">
        <f t="shared" si="3"/>
        <v>1</v>
      </c>
      <c r="F54" s="9">
        <f t="shared" si="4"/>
        <v>0</v>
      </c>
      <c r="G54" s="9">
        <f t="shared" si="5"/>
        <v>0</v>
      </c>
    </row>
    <row r="55" spans="1:7" ht="18">
      <c r="A55" t="s">
        <v>64</v>
      </c>
      <c r="B55" s="9">
        <f t="shared" si="0"/>
        <v>1</v>
      </c>
      <c r="C55" s="9">
        <f t="shared" si="1"/>
        <v>0</v>
      </c>
      <c r="D55" s="9">
        <f t="shared" si="2"/>
        <v>0</v>
      </c>
      <c r="E55" s="9">
        <f t="shared" si="3"/>
        <v>0</v>
      </c>
      <c r="F55" s="9">
        <f t="shared" si="4"/>
        <v>0</v>
      </c>
      <c r="G55" s="9">
        <f t="shared" si="5"/>
        <v>1</v>
      </c>
    </row>
    <row r="56" spans="1:7" ht="18">
      <c r="A56" t="s">
        <v>89</v>
      </c>
      <c r="B56" s="9">
        <f t="shared" si="0"/>
        <v>0</v>
      </c>
      <c r="C56" s="9">
        <f t="shared" si="1"/>
        <v>1</v>
      </c>
      <c r="D56" s="9">
        <f t="shared" si="2"/>
        <v>1</v>
      </c>
      <c r="E56" s="9">
        <f t="shared" si="3"/>
        <v>0</v>
      </c>
      <c r="F56" s="9">
        <f t="shared" si="4"/>
        <v>0</v>
      </c>
      <c r="G56" s="9">
        <f t="shared" si="5"/>
        <v>0</v>
      </c>
    </row>
    <row r="57" spans="1:7" ht="18">
      <c r="A57" t="s">
        <v>74</v>
      </c>
      <c r="B57" s="9">
        <f t="shared" si="0"/>
        <v>0</v>
      </c>
      <c r="C57" s="9">
        <f t="shared" si="1"/>
        <v>0</v>
      </c>
      <c r="D57" s="9">
        <f t="shared" si="2"/>
        <v>0</v>
      </c>
      <c r="E57" s="9">
        <f t="shared" si="3"/>
        <v>0</v>
      </c>
      <c r="F57" s="9">
        <f t="shared" si="4"/>
        <v>1</v>
      </c>
      <c r="G57" s="9">
        <f t="shared" si="5"/>
        <v>1</v>
      </c>
    </row>
    <row r="58" spans="1:7" ht="18">
      <c r="A58" t="s">
        <v>80</v>
      </c>
      <c r="B58" s="9">
        <f t="shared" si="0"/>
        <v>0</v>
      </c>
      <c r="C58" s="9">
        <f t="shared" si="1"/>
        <v>0</v>
      </c>
      <c r="D58" s="9">
        <f t="shared" si="2"/>
        <v>1</v>
      </c>
      <c r="E58" s="9">
        <f t="shared" si="3"/>
        <v>1</v>
      </c>
      <c r="F58" s="9">
        <f t="shared" si="4"/>
        <v>0</v>
      </c>
      <c r="G58" s="9">
        <f t="shared" si="5"/>
        <v>0</v>
      </c>
    </row>
    <row r="59" spans="1:7" ht="18">
      <c r="A59" t="s">
        <v>64</v>
      </c>
      <c r="B59" s="9">
        <f t="shared" si="0"/>
        <v>1</v>
      </c>
      <c r="C59" s="9">
        <f t="shared" si="1"/>
        <v>0</v>
      </c>
      <c r="D59" s="9">
        <f t="shared" si="2"/>
        <v>0</v>
      </c>
      <c r="E59" s="9">
        <f t="shared" si="3"/>
        <v>0</v>
      </c>
      <c r="F59" s="9">
        <f t="shared" si="4"/>
        <v>0</v>
      </c>
      <c r="G59" s="9">
        <f t="shared" si="5"/>
        <v>1</v>
      </c>
    </row>
    <row r="60" spans="1:7" ht="18">
      <c r="A60" t="s">
        <v>48</v>
      </c>
      <c r="B60" s="9">
        <f t="shared" si="0"/>
        <v>0</v>
      </c>
      <c r="C60" s="9">
        <f t="shared" si="1"/>
        <v>0</v>
      </c>
      <c r="D60" s="9">
        <f t="shared" si="2"/>
        <v>1</v>
      </c>
      <c r="E60" s="9">
        <f t="shared" si="3"/>
        <v>0</v>
      </c>
      <c r="F60" s="9">
        <f t="shared" si="4"/>
        <v>1</v>
      </c>
      <c r="G60" s="9">
        <f t="shared" si="5"/>
        <v>0</v>
      </c>
    </row>
    <row r="61" spans="1:7" ht="18">
      <c r="A61" t="s">
        <v>80</v>
      </c>
      <c r="B61" s="9">
        <f t="shared" si="0"/>
        <v>0</v>
      </c>
      <c r="C61" s="9">
        <f t="shared" si="1"/>
        <v>0</v>
      </c>
      <c r="D61" s="9">
        <f t="shared" si="2"/>
        <v>1</v>
      </c>
      <c r="E61" s="9">
        <f t="shared" si="3"/>
        <v>1</v>
      </c>
      <c r="F61" s="9">
        <f t="shared" si="4"/>
        <v>0</v>
      </c>
      <c r="G61" s="9">
        <f t="shared" si="5"/>
        <v>0</v>
      </c>
    </row>
    <row r="62" spans="1:7" ht="18">
      <c r="A62" t="s">
        <v>91</v>
      </c>
      <c r="B62" s="9">
        <f t="shared" si="0"/>
        <v>0</v>
      </c>
      <c r="C62" s="9">
        <f t="shared" si="1"/>
        <v>0</v>
      </c>
      <c r="D62" s="9">
        <f t="shared" si="2"/>
        <v>0</v>
      </c>
      <c r="E62" s="9">
        <f t="shared" si="3"/>
        <v>0</v>
      </c>
      <c r="F62" s="9">
        <f t="shared" si="4"/>
        <v>1</v>
      </c>
      <c r="G62" s="9">
        <f t="shared" si="5"/>
        <v>1</v>
      </c>
    </row>
    <row r="63" spans="1:7" ht="18">
      <c r="A63" t="s">
        <v>64</v>
      </c>
      <c r="B63" s="9">
        <f t="shared" si="0"/>
        <v>1</v>
      </c>
      <c r="C63" s="9">
        <f t="shared" si="1"/>
        <v>0</v>
      </c>
      <c r="D63" s="9">
        <f t="shared" si="2"/>
        <v>0</v>
      </c>
      <c r="E63" s="9">
        <f t="shared" si="3"/>
        <v>0</v>
      </c>
      <c r="F63" s="9">
        <f t="shared" si="4"/>
        <v>0</v>
      </c>
      <c r="G63" s="9">
        <f t="shared" si="5"/>
        <v>1</v>
      </c>
    </row>
    <row r="64" spans="1:7" ht="18">
      <c r="A64" t="s">
        <v>80</v>
      </c>
      <c r="B64" s="9">
        <f t="shared" si="0"/>
        <v>0</v>
      </c>
      <c r="C64" s="9">
        <f t="shared" si="1"/>
        <v>0</v>
      </c>
      <c r="D64" s="9">
        <f t="shared" si="2"/>
        <v>1</v>
      </c>
      <c r="E64" s="9">
        <f t="shared" si="3"/>
        <v>1</v>
      </c>
      <c r="F64" s="9">
        <f t="shared" si="4"/>
        <v>0</v>
      </c>
      <c r="G64" s="9">
        <f t="shared" si="5"/>
        <v>0</v>
      </c>
    </row>
    <row r="65" spans="1:7" ht="18">
      <c r="A65" t="s">
        <v>89</v>
      </c>
      <c r="B65" s="9">
        <f t="shared" si="0"/>
        <v>0</v>
      </c>
      <c r="C65" s="9">
        <f t="shared" si="1"/>
        <v>1</v>
      </c>
      <c r="D65" s="9">
        <f t="shared" si="2"/>
        <v>1</v>
      </c>
      <c r="E65" s="9">
        <f t="shared" si="3"/>
        <v>0</v>
      </c>
      <c r="F65" s="9">
        <f t="shared" si="4"/>
        <v>0</v>
      </c>
      <c r="G65" s="9">
        <f t="shared" si="5"/>
        <v>0</v>
      </c>
    </row>
    <row r="66" spans="1:7" ht="18">
      <c r="A66" t="s">
        <v>74</v>
      </c>
      <c r="B66" s="9">
        <f t="shared" si="0"/>
        <v>0</v>
      </c>
      <c r="C66" s="9">
        <f t="shared" si="1"/>
        <v>0</v>
      </c>
      <c r="D66" s="9">
        <f t="shared" si="2"/>
        <v>0</v>
      </c>
      <c r="E66" s="9">
        <f t="shared" si="3"/>
        <v>0</v>
      </c>
      <c r="F66" s="9">
        <f t="shared" si="4"/>
        <v>1</v>
      </c>
      <c r="G66" s="9">
        <f t="shared" si="5"/>
        <v>1</v>
      </c>
    </row>
    <row r="67" spans="1:7" ht="18">
      <c r="A67" t="s">
        <v>80</v>
      </c>
      <c r="B67" s="9">
        <f t="shared" ref="B67:B116" si="6">IF(ISNUMBER(SEARCH("Reduce middlemen",A67)),1,0)</f>
        <v>0</v>
      </c>
      <c r="C67" s="9">
        <f t="shared" ref="C67:C116" si="7">IF(ISNUMBER(SEARCH("Better transport facilities",A67)),1,0)</f>
        <v>0</v>
      </c>
      <c r="D67" s="9">
        <f t="shared" ref="D67:D116" si="8">IF(ISNUMBER(SEARCH("Awareness programs",A67)),1,0)</f>
        <v>1</v>
      </c>
      <c r="E67" s="9">
        <f t="shared" ref="E67:E116" si="9">IF(ISNUMBER(SEARCH("Digital payment systems",A67)),1,0)</f>
        <v>1</v>
      </c>
      <c r="F67" s="9">
        <f t="shared" ref="F67:F116" si="10">IF(ISNUMBER(SEARCH("Better storage facilities",A67)),1,0)</f>
        <v>0</v>
      </c>
      <c r="G67" s="9">
        <f t="shared" ref="G67:G116" si="11">IF(ISNUMBER(SEARCH("Government support",A67)),1,0)</f>
        <v>0</v>
      </c>
    </row>
    <row r="68" spans="1:7" ht="18">
      <c r="A68" t="s">
        <v>64</v>
      </c>
      <c r="B68" s="9">
        <f t="shared" si="6"/>
        <v>1</v>
      </c>
      <c r="C68" s="9">
        <f t="shared" si="7"/>
        <v>0</v>
      </c>
      <c r="D68" s="9">
        <f t="shared" si="8"/>
        <v>0</v>
      </c>
      <c r="E68" s="9">
        <f t="shared" si="9"/>
        <v>0</v>
      </c>
      <c r="F68" s="9">
        <f t="shared" si="10"/>
        <v>0</v>
      </c>
      <c r="G68" s="9">
        <f t="shared" si="11"/>
        <v>1</v>
      </c>
    </row>
    <row r="69" spans="1:7" ht="18">
      <c r="A69" t="s">
        <v>48</v>
      </c>
      <c r="B69" s="9">
        <f t="shared" si="6"/>
        <v>0</v>
      </c>
      <c r="C69" s="9">
        <f t="shared" si="7"/>
        <v>0</v>
      </c>
      <c r="D69" s="9">
        <f t="shared" si="8"/>
        <v>1</v>
      </c>
      <c r="E69" s="9">
        <f t="shared" si="9"/>
        <v>0</v>
      </c>
      <c r="F69" s="9">
        <f t="shared" si="10"/>
        <v>1</v>
      </c>
      <c r="G69" s="9">
        <f t="shared" si="11"/>
        <v>0</v>
      </c>
    </row>
    <row r="70" spans="1:7" ht="18">
      <c r="A70" t="s">
        <v>80</v>
      </c>
      <c r="B70" s="9">
        <f t="shared" si="6"/>
        <v>0</v>
      </c>
      <c r="C70" s="9">
        <f t="shared" si="7"/>
        <v>0</v>
      </c>
      <c r="D70" s="9">
        <f t="shared" si="8"/>
        <v>1</v>
      </c>
      <c r="E70" s="9">
        <f t="shared" si="9"/>
        <v>1</v>
      </c>
      <c r="F70" s="9">
        <f t="shared" si="10"/>
        <v>0</v>
      </c>
      <c r="G70" s="9">
        <f t="shared" si="11"/>
        <v>0</v>
      </c>
    </row>
    <row r="71" spans="1:7" ht="18">
      <c r="A71" t="s">
        <v>91</v>
      </c>
      <c r="B71" s="9">
        <f t="shared" si="6"/>
        <v>0</v>
      </c>
      <c r="C71" s="9">
        <f t="shared" si="7"/>
        <v>0</v>
      </c>
      <c r="D71" s="9">
        <f t="shared" si="8"/>
        <v>0</v>
      </c>
      <c r="E71" s="9">
        <f t="shared" si="9"/>
        <v>0</v>
      </c>
      <c r="F71" s="9">
        <f t="shared" si="10"/>
        <v>1</v>
      </c>
      <c r="G71" s="9">
        <f t="shared" si="11"/>
        <v>1</v>
      </c>
    </row>
    <row r="72" spans="1:7" ht="18">
      <c r="A72" t="s">
        <v>64</v>
      </c>
      <c r="B72" s="9">
        <f t="shared" si="6"/>
        <v>1</v>
      </c>
      <c r="C72" s="9">
        <f t="shared" si="7"/>
        <v>0</v>
      </c>
      <c r="D72" s="9">
        <f t="shared" si="8"/>
        <v>0</v>
      </c>
      <c r="E72" s="9">
        <f t="shared" si="9"/>
        <v>0</v>
      </c>
      <c r="F72" s="9">
        <f t="shared" si="10"/>
        <v>0</v>
      </c>
      <c r="G72" s="9">
        <f t="shared" si="11"/>
        <v>1</v>
      </c>
    </row>
    <row r="73" spans="1:7" ht="18">
      <c r="A73" t="s">
        <v>60</v>
      </c>
      <c r="B73" s="9">
        <f t="shared" si="6"/>
        <v>0</v>
      </c>
      <c r="C73" s="9">
        <f t="shared" si="7"/>
        <v>0</v>
      </c>
      <c r="D73" s="9">
        <f t="shared" si="8"/>
        <v>1</v>
      </c>
      <c r="E73" s="9">
        <f t="shared" si="9"/>
        <v>1</v>
      </c>
      <c r="F73" s="9">
        <f t="shared" si="10"/>
        <v>0</v>
      </c>
      <c r="G73" s="9">
        <f t="shared" si="11"/>
        <v>0</v>
      </c>
    </row>
    <row r="74" spans="1:7" ht="18">
      <c r="A74" t="s">
        <v>80</v>
      </c>
      <c r="B74" s="9">
        <f t="shared" si="6"/>
        <v>0</v>
      </c>
      <c r="C74" s="9">
        <f t="shared" si="7"/>
        <v>0</v>
      </c>
      <c r="D74" s="9">
        <f t="shared" si="8"/>
        <v>1</v>
      </c>
      <c r="E74" s="9">
        <f t="shared" si="9"/>
        <v>1</v>
      </c>
      <c r="F74" s="9">
        <f t="shared" si="10"/>
        <v>0</v>
      </c>
      <c r="G74" s="9">
        <f t="shared" si="11"/>
        <v>0</v>
      </c>
    </row>
    <row r="75" spans="1:7" ht="18">
      <c r="A75" t="s">
        <v>74</v>
      </c>
      <c r="B75" s="9">
        <f t="shared" si="6"/>
        <v>0</v>
      </c>
      <c r="C75" s="9">
        <f t="shared" si="7"/>
        <v>0</v>
      </c>
      <c r="D75" s="9">
        <f t="shared" si="8"/>
        <v>0</v>
      </c>
      <c r="E75" s="9">
        <f t="shared" si="9"/>
        <v>0</v>
      </c>
      <c r="F75" s="9">
        <f t="shared" si="10"/>
        <v>1</v>
      </c>
      <c r="G75" s="9">
        <f t="shared" si="11"/>
        <v>1</v>
      </c>
    </row>
    <row r="76" spans="1:7" ht="18">
      <c r="A76" t="s">
        <v>96</v>
      </c>
      <c r="B76" s="9">
        <f t="shared" si="6"/>
        <v>1</v>
      </c>
      <c r="C76" s="9">
        <f t="shared" si="7"/>
        <v>1</v>
      </c>
      <c r="D76" s="9">
        <f t="shared" si="8"/>
        <v>0</v>
      </c>
      <c r="E76" s="9">
        <f t="shared" si="9"/>
        <v>0</v>
      </c>
      <c r="F76" s="9">
        <f t="shared" si="10"/>
        <v>0</v>
      </c>
      <c r="G76" s="9">
        <f t="shared" si="11"/>
        <v>0</v>
      </c>
    </row>
    <row r="77" spans="1:7" ht="18">
      <c r="A77" t="s">
        <v>107</v>
      </c>
      <c r="B77" s="9">
        <f t="shared" si="6"/>
        <v>0</v>
      </c>
      <c r="C77" s="9">
        <f t="shared" si="7"/>
        <v>0</v>
      </c>
      <c r="D77" s="9">
        <f t="shared" si="8"/>
        <v>1</v>
      </c>
      <c r="E77" s="9">
        <f t="shared" si="9"/>
        <v>0</v>
      </c>
      <c r="F77" s="9">
        <f t="shared" si="10"/>
        <v>0</v>
      </c>
      <c r="G77" s="9">
        <f t="shared" si="11"/>
        <v>1</v>
      </c>
    </row>
    <row r="78" spans="1:7" ht="18">
      <c r="A78" t="s">
        <v>80</v>
      </c>
      <c r="B78" s="9">
        <f t="shared" si="6"/>
        <v>0</v>
      </c>
      <c r="C78" s="9">
        <f t="shared" si="7"/>
        <v>0</v>
      </c>
      <c r="D78" s="9">
        <f t="shared" si="8"/>
        <v>1</v>
      </c>
      <c r="E78" s="9">
        <f t="shared" si="9"/>
        <v>1</v>
      </c>
      <c r="F78" s="9">
        <f t="shared" si="10"/>
        <v>0</v>
      </c>
      <c r="G78" s="9">
        <f t="shared" si="11"/>
        <v>0</v>
      </c>
    </row>
    <row r="79" spans="1:7" ht="18">
      <c r="A79" t="s">
        <v>74</v>
      </c>
      <c r="B79" s="9">
        <f t="shared" si="6"/>
        <v>0</v>
      </c>
      <c r="C79" s="9">
        <f t="shared" si="7"/>
        <v>0</v>
      </c>
      <c r="D79" s="9">
        <f t="shared" si="8"/>
        <v>0</v>
      </c>
      <c r="E79" s="9">
        <f t="shared" si="9"/>
        <v>0</v>
      </c>
      <c r="F79" s="9">
        <f t="shared" si="10"/>
        <v>1</v>
      </c>
      <c r="G79" s="9">
        <f t="shared" si="11"/>
        <v>1</v>
      </c>
    </row>
    <row r="80" spans="1:7" ht="18">
      <c r="A80" t="s">
        <v>64</v>
      </c>
      <c r="B80" s="9">
        <f t="shared" si="6"/>
        <v>1</v>
      </c>
      <c r="C80" s="9">
        <f t="shared" si="7"/>
        <v>0</v>
      </c>
      <c r="D80" s="9">
        <f t="shared" si="8"/>
        <v>0</v>
      </c>
      <c r="E80" s="9">
        <f t="shared" si="9"/>
        <v>0</v>
      </c>
      <c r="F80" s="9">
        <f t="shared" si="10"/>
        <v>0</v>
      </c>
      <c r="G80" s="9">
        <f t="shared" si="11"/>
        <v>1</v>
      </c>
    </row>
    <row r="81" spans="1:7" ht="18">
      <c r="A81" t="s">
        <v>60</v>
      </c>
      <c r="B81" s="9">
        <f t="shared" si="6"/>
        <v>0</v>
      </c>
      <c r="C81" s="9">
        <f t="shared" si="7"/>
        <v>0</v>
      </c>
      <c r="D81" s="9">
        <f t="shared" si="8"/>
        <v>1</v>
      </c>
      <c r="E81" s="9">
        <f t="shared" si="9"/>
        <v>1</v>
      </c>
      <c r="F81" s="9">
        <f t="shared" si="10"/>
        <v>0</v>
      </c>
      <c r="G81" s="9">
        <f t="shared" si="11"/>
        <v>0</v>
      </c>
    </row>
    <row r="82" spans="1:7" ht="18">
      <c r="A82" t="s">
        <v>64</v>
      </c>
      <c r="B82" s="9">
        <f t="shared" si="6"/>
        <v>1</v>
      </c>
      <c r="C82" s="9">
        <f t="shared" si="7"/>
        <v>0</v>
      </c>
      <c r="D82" s="9">
        <f t="shared" si="8"/>
        <v>0</v>
      </c>
      <c r="E82" s="9">
        <f t="shared" si="9"/>
        <v>0</v>
      </c>
      <c r="F82" s="9">
        <f t="shared" si="10"/>
        <v>0</v>
      </c>
      <c r="G82" s="9">
        <f t="shared" si="11"/>
        <v>1</v>
      </c>
    </row>
    <row r="83" spans="1:7" ht="18">
      <c r="A83" t="s">
        <v>74</v>
      </c>
      <c r="B83" s="9">
        <f t="shared" si="6"/>
        <v>0</v>
      </c>
      <c r="C83" s="9">
        <f t="shared" si="7"/>
        <v>0</v>
      </c>
      <c r="D83" s="9">
        <f t="shared" si="8"/>
        <v>0</v>
      </c>
      <c r="E83" s="9">
        <f t="shared" si="9"/>
        <v>0</v>
      </c>
      <c r="F83" s="9">
        <f t="shared" si="10"/>
        <v>1</v>
      </c>
      <c r="G83" s="9">
        <f t="shared" si="11"/>
        <v>1</v>
      </c>
    </row>
    <row r="84" spans="1:7" ht="18">
      <c r="A84" t="s">
        <v>80</v>
      </c>
      <c r="B84" s="9">
        <f t="shared" si="6"/>
        <v>0</v>
      </c>
      <c r="C84" s="9">
        <f t="shared" si="7"/>
        <v>0</v>
      </c>
      <c r="D84" s="9">
        <f t="shared" si="8"/>
        <v>1</v>
      </c>
      <c r="E84" s="9">
        <f t="shared" si="9"/>
        <v>1</v>
      </c>
      <c r="F84" s="9">
        <f t="shared" si="10"/>
        <v>0</v>
      </c>
      <c r="G84" s="9">
        <f t="shared" si="11"/>
        <v>0</v>
      </c>
    </row>
    <row r="85" spans="1:7" ht="18">
      <c r="A85" t="s">
        <v>64</v>
      </c>
      <c r="B85" s="9">
        <f t="shared" si="6"/>
        <v>1</v>
      </c>
      <c r="C85" s="9">
        <f t="shared" si="7"/>
        <v>0</v>
      </c>
      <c r="D85" s="9">
        <f t="shared" si="8"/>
        <v>0</v>
      </c>
      <c r="E85" s="9">
        <f t="shared" si="9"/>
        <v>0</v>
      </c>
      <c r="F85" s="9">
        <f t="shared" si="10"/>
        <v>0</v>
      </c>
      <c r="G85" s="9">
        <f t="shared" si="11"/>
        <v>1</v>
      </c>
    </row>
    <row r="86" spans="1:7" ht="18">
      <c r="A86" t="s">
        <v>89</v>
      </c>
      <c r="B86" s="9">
        <f t="shared" si="6"/>
        <v>0</v>
      </c>
      <c r="C86" s="9">
        <f t="shared" si="7"/>
        <v>1</v>
      </c>
      <c r="D86" s="9">
        <f t="shared" si="8"/>
        <v>1</v>
      </c>
      <c r="E86" s="9">
        <f t="shared" si="9"/>
        <v>0</v>
      </c>
      <c r="F86" s="9">
        <f t="shared" si="10"/>
        <v>0</v>
      </c>
      <c r="G86" s="9">
        <f t="shared" si="11"/>
        <v>0</v>
      </c>
    </row>
    <row r="87" spans="1:7" ht="18">
      <c r="A87" t="s">
        <v>74</v>
      </c>
      <c r="B87" s="9">
        <f t="shared" si="6"/>
        <v>0</v>
      </c>
      <c r="C87" s="9">
        <f t="shared" si="7"/>
        <v>0</v>
      </c>
      <c r="D87" s="9">
        <f t="shared" si="8"/>
        <v>0</v>
      </c>
      <c r="E87" s="9">
        <f t="shared" si="9"/>
        <v>0</v>
      </c>
      <c r="F87" s="9">
        <f t="shared" si="10"/>
        <v>1</v>
      </c>
      <c r="G87" s="9">
        <f t="shared" si="11"/>
        <v>1</v>
      </c>
    </row>
    <row r="88" spans="1:7" ht="18">
      <c r="A88" t="s">
        <v>80</v>
      </c>
      <c r="B88" s="9">
        <f t="shared" si="6"/>
        <v>0</v>
      </c>
      <c r="C88" s="9">
        <f t="shared" si="7"/>
        <v>0</v>
      </c>
      <c r="D88" s="9">
        <f t="shared" si="8"/>
        <v>1</v>
      </c>
      <c r="E88" s="9">
        <f t="shared" si="9"/>
        <v>1</v>
      </c>
      <c r="F88" s="9">
        <f t="shared" si="10"/>
        <v>0</v>
      </c>
      <c r="G88" s="9">
        <f t="shared" si="11"/>
        <v>0</v>
      </c>
    </row>
    <row r="89" spans="1:7" ht="18">
      <c r="A89" t="s">
        <v>64</v>
      </c>
      <c r="B89" s="9">
        <f t="shared" si="6"/>
        <v>1</v>
      </c>
      <c r="C89" s="9">
        <f t="shared" si="7"/>
        <v>0</v>
      </c>
      <c r="D89" s="9">
        <f t="shared" si="8"/>
        <v>0</v>
      </c>
      <c r="E89" s="9">
        <f t="shared" si="9"/>
        <v>0</v>
      </c>
      <c r="F89" s="9">
        <f t="shared" si="10"/>
        <v>0</v>
      </c>
      <c r="G89" s="9">
        <f t="shared" si="11"/>
        <v>1</v>
      </c>
    </row>
    <row r="90" spans="1:7" ht="18">
      <c r="A90" t="s">
        <v>48</v>
      </c>
      <c r="B90" s="9">
        <f t="shared" si="6"/>
        <v>0</v>
      </c>
      <c r="C90" s="9">
        <f t="shared" si="7"/>
        <v>0</v>
      </c>
      <c r="D90" s="9">
        <f t="shared" si="8"/>
        <v>1</v>
      </c>
      <c r="E90" s="9">
        <f t="shared" si="9"/>
        <v>0</v>
      </c>
      <c r="F90" s="9">
        <f t="shared" si="10"/>
        <v>1</v>
      </c>
      <c r="G90" s="9">
        <f t="shared" si="11"/>
        <v>0</v>
      </c>
    </row>
    <row r="91" spans="1:7" ht="18">
      <c r="A91" t="s">
        <v>80</v>
      </c>
      <c r="B91" s="9">
        <f t="shared" si="6"/>
        <v>0</v>
      </c>
      <c r="C91" s="9">
        <f t="shared" si="7"/>
        <v>0</v>
      </c>
      <c r="D91" s="9">
        <f t="shared" si="8"/>
        <v>1</v>
      </c>
      <c r="E91" s="9">
        <f t="shared" si="9"/>
        <v>1</v>
      </c>
      <c r="F91" s="9">
        <f t="shared" si="10"/>
        <v>0</v>
      </c>
      <c r="G91" s="9">
        <f t="shared" si="11"/>
        <v>0</v>
      </c>
    </row>
    <row r="92" spans="1:7" ht="18">
      <c r="A92" t="s">
        <v>91</v>
      </c>
      <c r="B92" s="9">
        <f t="shared" si="6"/>
        <v>0</v>
      </c>
      <c r="C92" s="9">
        <f t="shared" si="7"/>
        <v>0</v>
      </c>
      <c r="D92" s="9">
        <f t="shared" si="8"/>
        <v>0</v>
      </c>
      <c r="E92" s="9">
        <f t="shared" si="9"/>
        <v>0</v>
      </c>
      <c r="F92" s="9">
        <f t="shared" si="10"/>
        <v>1</v>
      </c>
      <c r="G92" s="9">
        <f t="shared" si="11"/>
        <v>1</v>
      </c>
    </row>
    <row r="93" spans="1:7" ht="18">
      <c r="A93" t="s">
        <v>64</v>
      </c>
      <c r="B93" s="9">
        <f t="shared" si="6"/>
        <v>1</v>
      </c>
      <c r="C93" s="9">
        <f t="shared" si="7"/>
        <v>0</v>
      </c>
      <c r="D93" s="9">
        <f t="shared" si="8"/>
        <v>0</v>
      </c>
      <c r="E93" s="9">
        <f t="shared" si="9"/>
        <v>0</v>
      </c>
      <c r="F93" s="9">
        <f t="shared" si="10"/>
        <v>0</v>
      </c>
      <c r="G93" s="9">
        <f t="shared" si="11"/>
        <v>1</v>
      </c>
    </row>
    <row r="94" spans="1:7" ht="18">
      <c r="A94" t="s">
        <v>80</v>
      </c>
      <c r="B94" s="9">
        <f t="shared" si="6"/>
        <v>0</v>
      </c>
      <c r="C94" s="9">
        <f t="shared" si="7"/>
        <v>0</v>
      </c>
      <c r="D94" s="9">
        <f t="shared" si="8"/>
        <v>1</v>
      </c>
      <c r="E94" s="9">
        <f t="shared" si="9"/>
        <v>1</v>
      </c>
      <c r="F94" s="9">
        <f t="shared" si="10"/>
        <v>0</v>
      </c>
      <c r="G94" s="9">
        <f t="shared" si="11"/>
        <v>0</v>
      </c>
    </row>
    <row r="95" spans="1:7" ht="18">
      <c r="A95" t="s">
        <v>89</v>
      </c>
      <c r="B95" s="9">
        <f t="shared" si="6"/>
        <v>0</v>
      </c>
      <c r="C95" s="9">
        <f t="shared" si="7"/>
        <v>1</v>
      </c>
      <c r="D95" s="9">
        <f t="shared" si="8"/>
        <v>1</v>
      </c>
      <c r="E95" s="9">
        <f t="shared" si="9"/>
        <v>0</v>
      </c>
      <c r="F95" s="9">
        <f t="shared" si="10"/>
        <v>0</v>
      </c>
      <c r="G95" s="9">
        <f t="shared" si="11"/>
        <v>0</v>
      </c>
    </row>
    <row r="96" spans="1:7" ht="18">
      <c r="A96" t="s">
        <v>74</v>
      </c>
      <c r="B96" s="9">
        <f t="shared" si="6"/>
        <v>0</v>
      </c>
      <c r="C96" s="9">
        <f t="shared" si="7"/>
        <v>0</v>
      </c>
      <c r="D96" s="9">
        <f t="shared" si="8"/>
        <v>0</v>
      </c>
      <c r="E96" s="9">
        <f t="shared" si="9"/>
        <v>0</v>
      </c>
      <c r="F96" s="9">
        <f t="shared" si="10"/>
        <v>1</v>
      </c>
      <c r="G96" s="9">
        <f t="shared" si="11"/>
        <v>1</v>
      </c>
    </row>
    <row r="97" spans="1:7" ht="18">
      <c r="A97" t="s">
        <v>80</v>
      </c>
      <c r="B97" s="9">
        <f t="shared" si="6"/>
        <v>0</v>
      </c>
      <c r="C97" s="9">
        <f t="shared" si="7"/>
        <v>0</v>
      </c>
      <c r="D97" s="9">
        <f t="shared" si="8"/>
        <v>1</v>
      </c>
      <c r="E97" s="9">
        <f t="shared" si="9"/>
        <v>1</v>
      </c>
      <c r="F97" s="9">
        <f t="shared" si="10"/>
        <v>0</v>
      </c>
      <c r="G97" s="9">
        <f t="shared" si="11"/>
        <v>0</v>
      </c>
    </row>
    <row r="98" spans="1:7" ht="18">
      <c r="A98" t="s">
        <v>64</v>
      </c>
      <c r="B98" s="9">
        <f t="shared" si="6"/>
        <v>1</v>
      </c>
      <c r="C98" s="9">
        <f t="shared" si="7"/>
        <v>0</v>
      </c>
      <c r="D98" s="9">
        <f t="shared" si="8"/>
        <v>0</v>
      </c>
      <c r="E98" s="9">
        <f t="shared" si="9"/>
        <v>0</v>
      </c>
      <c r="F98" s="9">
        <f t="shared" si="10"/>
        <v>0</v>
      </c>
      <c r="G98" s="9">
        <f t="shared" si="11"/>
        <v>1</v>
      </c>
    </row>
    <row r="99" spans="1:7" ht="18">
      <c r="A99" t="s">
        <v>48</v>
      </c>
      <c r="B99" s="9">
        <f t="shared" si="6"/>
        <v>0</v>
      </c>
      <c r="C99" s="9">
        <f t="shared" si="7"/>
        <v>0</v>
      </c>
      <c r="D99" s="9">
        <f t="shared" si="8"/>
        <v>1</v>
      </c>
      <c r="E99" s="9">
        <f t="shared" si="9"/>
        <v>0</v>
      </c>
      <c r="F99" s="9">
        <f t="shared" si="10"/>
        <v>1</v>
      </c>
      <c r="G99" s="9">
        <f t="shared" si="11"/>
        <v>0</v>
      </c>
    </row>
    <row r="100" spans="1:7" ht="18">
      <c r="A100" t="s">
        <v>80</v>
      </c>
      <c r="B100" s="9">
        <f t="shared" si="6"/>
        <v>0</v>
      </c>
      <c r="C100" s="9">
        <f t="shared" si="7"/>
        <v>0</v>
      </c>
      <c r="D100" s="9">
        <f t="shared" si="8"/>
        <v>1</v>
      </c>
      <c r="E100" s="9">
        <f t="shared" si="9"/>
        <v>1</v>
      </c>
      <c r="F100" s="9">
        <f t="shared" si="10"/>
        <v>0</v>
      </c>
      <c r="G100" s="9">
        <f t="shared" si="11"/>
        <v>0</v>
      </c>
    </row>
    <row r="101" spans="1:7" ht="18">
      <c r="A101" t="s">
        <v>91</v>
      </c>
      <c r="B101" s="9">
        <f t="shared" si="6"/>
        <v>0</v>
      </c>
      <c r="C101" s="9">
        <f t="shared" si="7"/>
        <v>0</v>
      </c>
      <c r="D101" s="9">
        <f t="shared" si="8"/>
        <v>0</v>
      </c>
      <c r="E101" s="9">
        <f t="shared" si="9"/>
        <v>0</v>
      </c>
      <c r="F101" s="9">
        <f t="shared" si="10"/>
        <v>1</v>
      </c>
      <c r="G101" s="9">
        <f t="shared" si="11"/>
        <v>1</v>
      </c>
    </row>
    <row r="102" spans="1:7" ht="18">
      <c r="A102" t="s">
        <v>64</v>
      </c>
      <c r="B102" s="9">
        <f t="shared" si="6"/>
        <v>1</v>
      </c>
      <c r="C102" s="9">
        <f t="shared" si="7"/>
        <v>0</v>
      </c>
      <c r="D102" s="9">
        <f t="shared" si="8"/>
        <v>0</v>
      </c>
      <c r="E102" s="9">
        <f t="shared" si="9"/>
        <v>0</v>
      </c>
      <c r="F102" s="9">
        <f t="shared" si="10"/>
        <v>0</v>
      </c>
      <c r="G102" s="9">
        <f t="shared" si="11"/>
        <v>1</v>
      </c>
    </row>
    <row r="103" spans="1:7" ht="18">
      <c r="A103" t="s">
        <v>60</v>
      </c>
      <c r="B103" s="9">
        <f t="shared" si="6"/>
        <v>0</v>
      </c>
      <c r="C103" s="9">
        <f t="shared" si="7"/>
        <v>0</v>
      </c>
      <c r="D103" s="9">
        <f t="shared" si="8"/>
        <v>1</v>
      </c>
      <c r="E103" s="9">
        <f t="shared" si="9"/>
        <v>1</v>
      </c>
      <c r="F103" s="9">
        <f t="shared" si="10"/>
        <v>0</v>
      </c>
      <c r="G103" s="9">
        <f t="shared" si="11"/>
        <v>0</v>
      </c>
    </row>
    <row r="104" spans="1:7" ht="18">
      <c r="A104" t="s">
        <v>80</v>
      </c>
      <c r="B104" s="9">
        <f t="shared" si="6"/>
        <v>0</v>
      </c>
      <c r="C104" s="9">
        <f t="shared" si="7"/>
        <v>0</v>
      </c>
      <c r="D104" s="9">
        <f t="shared" si="8"/>
        <v>1</v>
      </c>
      <c r="E104" s="9">
        <f t="shared" si="9"/>
        <v>1</v>
      </c>
      <c r="F104" s="9">
        <f t="shared" si="10"/>
        <v>0</v>
      </c>
      <c r="G104" s="9">
        <f t="shared" si="11"/>
        <v>0</v>
      </c>
    </row>
    <row r="105" spans="1:7" ht="18">
      <c r="A105" t="s">
        <v>74</v>
      </c>
      <c r="B105" s="9">
        <f t="shared" si="6"/>
        <v>0</v>
      </c>
      <c r="C105" s="9">
        <f t="shared" si="7"/>
        <v>0</v>
      </c>
      <c r="D105" s="9">
        <f t="shared" si="8"/>
        <v>0</v>
      </c>
      <c r="E105" s="9">
        <f t="shared" si="9"/>
        <v>0</v>
      </c>
      <c r="F105" s="9">
        <f t="shared" si="10"/>
        <v>1</v>
      </c>
      <c r="G105" s="9">
        <f t="shared" si="11"/>
        <v>1</v>
      </c>
    </row>
    <row r="106" spans="1:7" ht="18">
      <c r="A106" t="s">
        <v>96</v>
      </c>
      <c r="B106" s="9">
        <f t="shared" si="6"/>
        <v>1</v>
      </c>
      <c r="C106" s="9">
        <f t="shared" si="7"/>
        <v>1</v>
      </c>
      <c r="D106" s="9">
        <f t="shared" si="8"/>
        <v>0</v>
      </c>
      <c r="E106" s="9">
        <f t="shared" si="9"/>
        <v>0</v>
      </c>
      <c r="F106" s="9">
        <f t="shared" si="10"/>
        <v>0</v>
      </c>
      <c r="G106" s="9">
        <f t="shared" si="11"/>
        <v>0</v>
      </c>
    </row>
    <row r="107" spans="1:7" ht="18">
      <c r="A107" t="s">
        <v>107</v>
      </c>
      <c r="B107" s="9">
        <f t="shared" si="6"/>
        <v>0</v>
      </c>
      <c r="C107" s="9">
        <f t="shared" si="7"/>
        <v>0</v>
      </c>
      <c r="D107" s="9">
        <f t="shared" si="8"/>
        <v>1</v>
      </c>
      <c r="E107" s="9">
        <f t="shared" si="9"/>
        <v>0</v>
      </c>
      <c r="F107" s="9">
        <f t="shared" si="10"/>
        <v>0</v>
      </c>
      <c r="G107" s="9">
        <f t="shared" si="11"/>
        <v>1</v>
      </c>
    </row>
    <row r="108" spans="1:7" ht="18">
      <c r="A108" t="s">
        <v>80</v>
      </c>
      <c r="B108" s="9">
        <f t="shared" si="6"/>
        <v>0</v>
      </c>
      <c r="C108" s="9">
        <f t="shared" si="7"/>
        <v>0</v>
      </c>
      <c r="D108" s="9">
        <f t="shared" si="8"/>
        <v>1</v>
      </c>
      <c r="E108" s="9">
        <f t="shared" si="9"/>
        <v>1</v>
      </c>
      <c r="F108" s="9">
        <f t="shared" si="10"/>
        <v>0</v>
      </c>
      <c r="G108" s="9">
        <f t="shared" si="11"/>
        <v>0</v>
      </c>
    </row>
    <row r="109" spans="1:7" ht="18">
      <c r="A109" t="s">
        <v>74</v>
      </c>
      <c r="B109" s="9">
        <f t="shared" si="6"/>
        <v>0</v>
      </c>
      <c r="C109" s="9">
        <f t="shared" si="7"/>
        <v>0</v>
      </c>
      <c r="D109" s="9">
        <f t="shared" si="8"/>
        <v>0</v>
      </c>
      <c r="E109" s="9">
        <f t="shared" si="9"/>
        <v>0</v>
      </c>
      <c r="F109" s="9">
        <f t="shared" si="10"/>
        <v>1</v>
      </c>
      <c r="G109" s="9">
        <f t="shared" si="11"/>
        <v>1</v>
      </c>
    </row>
    <row r="110" spans="1:7" ht="18">
      <c r="A110" t="s">
        <v>64</v>
      </c>
      <c r="B110" s="9">
        <f t="shared" si="6"/>
        <v>1</v>
      </c>
      <c r="C110" s="9">
        <f t="shared" si="7"/>
        <v>0</v>
      </c>
      <c r="D110" s="9">
        <f t="shared" si="8"/>
        <v>0</v>
      </c>
      <c r="E110" s="9">
        <f t="shared" si="9"/>
        <v>0</v>
      </c>
      <c r="F110" s="9">
        <f t="shared" si="10"/>
        <v>0</v>
      </c>
      <c r="G110" s="9">
        <f t="shared" si="11"/>
        <v>1</v>
      </c>
    </row>
    <row r="111" spans="1:7" ht="18">
      <c r="A111" t="s">
        <v>60</v>
      </c>
      <c r="B111" s="9">
        <f t="shared" si="6"/>
        <v>0</v>
      </c>
      <c r="C111" s="9">
        <f t="shared" si="7"/>
        <v>0</v>
      </c>
      <c r="D111" s="9">
        <f t="shared" si="8"/>
        <v>1</v>
      </c>
      <c r="E111" s="9">
        <f t="shared" si="9"/>
        <v>1</v>
      </c>
      <c r="F111" s="9">
        <f t="shared" si="10"/>
        <v>0</v>
      </c>
      <c r="G111" s="9">
        <f t="shared" si="11"/>
        <v>0</v>
      </c>
    </row>
    <row r="112" spans="1:7" ht="18">
      <c r="A112" t="s">
        <v>64</v>
      </c>
      <c r="B112" s="9">
        <f t="shared" si="6"/>
        <v>1</v>
      </c>
      <c r="C112" s="9">
        <f t="shared" si="7"/>
        <v>0</v>
      </c>
      <c r="D112" s="9">
        <f t="shared" si="8"/>
        <v>0</v>
      </c>
      <c r="E112" s="9">
        <f t="shared" si="9"/>
        <v>0</v>
      </c>
      <c r="F112" s="9">
        <f t="shared" si="10"/>
        <v>0</v>
      </c>
      <c r="G112" s="9">
        <f t="shared" si="11"/>
        <v>1</v>
      </c>
    </row>
    <row r="113" spans="1:7" ht="18">
      <c r="A113" t="s">
        <v>74</v>
      </c>
      <c r="B113" s="9">
        <f t="shared" si="6"/>
        <v>0</v>
      </c>
      <c r="C113" s="9">
        <f t="shared" si="7"/>
        <v>0</v>
      </c>
      <c r="D113" s="9">
        <f t="shared" si="8"/>
        <v>0</v>
      </c>
      <c r="E113" s="9">
        <f t="shared" si="9"/>
        <v>0</v>
      </c>
      <c r="F113" s="9">
        <f t="shared" si="10"/>
        <v>1</v>
      </c>
      <c r="G113" s="9">
        <f t="shared" si="11"/>
        <v>1</v>
      </c>
    </row>
    <row r="114" spans="1:7" ht="18">
      <c r="A114" t="s">
        <v>80</v>
      </c>
      <c r="B114" s="9">
        <f t="shared" si="6"/>
        <v>0</v>
      </c>
      <c r="C114" s="9">
        <f t="shared" si="7"/>
        <v>0</v>
      </c>
      <c r="D114" s="9">
        <f t="shared" si="8"/>
        <v>1</v>
      </c>
      <c r="E114" s="9">
        <f t="shared" si="9"/>
        <v>1</v>
      </c>
      <c r="F114" s="9">
        <f t="shared" si="10"/>
        <v>0</v>
      </c>
      <c r="G114" s="9">
        <f t="shared" si="11"/>
        <v>0</v>
      </c>
    </row>
    <row r="115" spans="1:7" ht="18">
      <c r="A115" t="s">
        <v>64</v>
      </c>
      <c r="B115" s="9">
        <f t="shared" si="6"/>
        <v>1</v>
      </c>
      <c r="C115" s="9">
        <f t="shared" si="7"/>
        <v>0</v>
      </c>
      <c r="D115" s="9">
        <f t="shared" si="8"/>
        <v>0</v>
      </c>
      <c r="E115" s="9">
        <f t="shared" si="9"/>
        <v>0</v>
      </c>
      <c r="F115" s="9">
        <f t="shared" si="10"/>
        <v>0</v>
      </c>
      <c r="G115" s="9">
        <f t="shared" si="11"/>
        <v>1</v>
      </c>
    </row>
    <row r="116" spans="1:7" ht="18">
      <c r="A116" t="s">
        <v>89</v>
      </c>
      <c r="B116" s="9">
        <f t="shared" si="6"/>
        <v>0</v>
      </c>
      <c r="C116" s="9">
        <f t="shared" si="7"/>
        <v>1</v>
      </c>
      <c r="D116" s="9">
        <f t="shared" si="8"/>
        <v>1</v>
      </c>
      <c r="E116" s="9">
        <f t="shared" si="9"/>
        <v>0</v>
      </c>
      <c r="F116" s="9">
        <f t="shared" si="10"/>
        <v>0</v>
      </c>
      <c r="G116" s="9">
        <f t="shared" si="11"/>
        <v>0</v>
      </c>
    </row>
    <row r="117" spans="1:7" ht="18">
      <c r="A117" t="s">
        <v>126</v>
      </c>
      <c r="B117" s="9">
        <f>SUM(B2:B116)</f>
        <v>32</v>
      </c>
      <c r="C117" s="9">
        <f t="shared" ref="C117:G117" si="12">SUM(C2:C116)</f>
        <v>18</v>
      </c>
      <c r="D117" s="9">
        <f t="shared" si="12"/>
        <v>56</v>
      </c>
      <c r="E117" s="9">
        <f t="shared" si="12"/>
        <v>35</v>
      </c>
      <c r="F117" s="9">
        <f t="shared" si="12"/>
        <v>33</v>
      </c>
      <c r="G117" s="9">
        <f t="shared" si="12"/>
        <v>57</v>
      </c>
    </row>
    <row r="118" spans="1:7" ht="18">
      <c r="A118" t="s">
        <v>127</v>
      </c>
      <c r="B118" s="9">
        <f>B117/115*100</f>
        <v>27.826086956521738</v>
      </c>
      <c r="C118" s="9">
        <f t="shared" ref="C118:G118" si="13">C117/115*100</f>
        <v>15.65217391304348</v>
      </c>
      <c r="D118" s="9">
        <f t="shared" si="13"/>
        <v>48.695652173913047</v>
      </c>
      <c r="E118" s="9">
        <f t="shared" si="13"/>
        <v>30.434782608695656</v>
      </c>
      <c r="F118" s="9">
        <f t="shared" si="13"/>
        <v>28.695652173913043</v>
      </c>
      <c r="G118" s="9">
        <f t="shared" si="13"/>
        <v>49.565217391304351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Q9</vt:lpstr>
      <vt:lpstr>Q15</vt:lpstr>
      <vt:lpstr>Q24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RAGHAVENDRA S</dc:creator>
  <cp:lastModifiedBy>RAGHAVENDRA S</cp:lastModifiedBy>
  <dcterms:created xsi:type="dcterms:W3CDTF">2026-06-21T17:12:24Z</dcterms:created>
  <dcterms:modified xsi:type="dcterms:W3CDTF">2026-07-10T13:09:06Z</dcterms:modified>
</cp:coreProperties>
</file>